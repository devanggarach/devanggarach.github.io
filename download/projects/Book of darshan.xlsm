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e@we\Downloads\devanggarach\download\projects\"/>
    </mc:Choice>
  </mc:AlternateContent>
  <bookViews>
    <workbookView xWindow="0" yWindow="0" windowWidth="20490" windowHeight="7905" activeTab="1"/>
  </bookViews>
  <sheets>
    <sheet name="Info" sheetId="1" r:id="rId1"/>
    <sheet name="Bill" sheetId="2" r:id="rId2"/>
    <sheet name="Data" sheetId="3" r:id="rId3"/>
    <sheet name="Agents" sheetId="5" r:id="rId4"/>
    <sheet name="Sales" sheetId="4" r:id="rId5"/>
    <sheet name="State Code" sheetId="6" r:id="rId6"/>
    <sheet name="Tranport Name" sheetId="7" r:id="rId7"/>
    <sheet name="Barcode" sheetId="11" r:id="rId8"/>
    <sheet name="Customers" sheetId="12" r:id="rId9"/>
  </sheets>
  <functionGroups builtInGroupCount="18"/>
  <definedNames>
    <definedName name="bill_cust">Bill!$S$11:$T$15,Bill!$C$10:$L$12,Bill!$C$13:$G$15,Bill!$I$13:$L$15,Bill!$O$10,Bill!$O$12,Bill!$O$13,Bill!$O$15</definedName>
    <definedName name="cust_all">Customers!$A:$I</definedName>
    <definedName name="cust_name">Customers!$A:$A</definedName>
    <definedName name="discount">Bill!$J$18:$K$25</definedName>
    <definedName name="extra_charges">Bill!$S$31:$T$34</definedName>
    <definedName name="gst">Data!$A$2:$H$5</definedName>
    <definedName name="iname">Data!$B:$B</definedName>
    <definedName name="item">Data!$B:$H</definedName>
    <definedName name="product_name">Bill!$B$18:$C$25</definedName>
    <definedName name="qty">Bill!$F$18:$F$25</definedName>
    <definedName name="state">'State Code'!$A$2:$A$38</definedName>
    <definedName name="state_code">'State Code'!$A$2:$B$38</definedName>
    <definedName name="transport">'Tranport Name'!$A:$A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5" i="2" l="1"/>
  <c r="R24" i="2"/>
  <c r="R23" i="2"/>
  <c r="R22" i="2"/>
  <c r="R21" i="2"/>
  <c r="R20" i="2"/>
  <c r="R19" i="2"/>
  <c r="P25" i="2"/>
  <c r="P24" i="2"/>
  <c r="P23" i="2"/>
  <c r="P22" i="2"/>
  <c r="P21" i="2"/>
  <c r="P20" i="2"/>
  <c r="P19" i="2"/>
  <c r="N25" i="2"/>
  <c r="N24" i="2"/>
  <c r="N23" i="2"/>
  <c r="N22" i="2"/>
  <c r="N21" i="2"/>
  <c r="N20" i="2"/>
  <c r="N19" i="2"/>
  <c r="T19" i="2"/>
  <c r="T20" i="2"/>
  <c r="T21" i="2"/>
  <c r="T22" i="2"/>
  <c r="T23" i="2"/>
  <c r="T24" i="2"/>
  <c r="T25" i="2"/>
  <c r="S19" i="2"/>
  <c r="S20" i="2"/>
  <c r="S21" i="2"/>
  <c r="S22" i="2"/>
  <c r="S23" i="2"/>
  <c r="S24" i="2"/>
  <c r="S25" i="2"/>
  <c r="Q19" i="2"/>
  <c r="Q20" i="2"/>
  <c r="Q21" i="2"/>
  <c r="Q22" i="2"/>
  <c r="Q23" i="2"/>
  <c r="Q24" i="2"/>
  <c r="Q25" i="2"/>
  <c r="O19" i="2"/>
  <c r="O20" i="2"/>
  <c r="O21" i="2"/>
  <c r="O22" i="2"/>
  <c r="O23" i="2"/>
  <c r="O24" i="2"/>
  <c r="O25" i="2"/>
  <c r="L19" i="2"/>
  <c r="L20" i="2"/>
  <c r="L21" i="2"/>
  <c r="L22" i="2"/>
  <c r="L23" i="2"/>
  <c r="L24" i="2"/>
  <c r="L25" i="2"/>
  <c r="I19" i="2"/>
  <c r="I20" i="2"/>
  <c r="I21" i="2"/>
  <c r="I22" i="2"/>
  <c r="I23" i="2"/>
  <c r="I24" i="2"/>
  <c r="I25" i="2"/>
  <c r="H19" i="2"/>
  <c r="H20" i="2"/>
  <c r="H21" i="2"/>
  <c r="H22" i="2"/>
  <c r="H23" i="2"/>
  <c r="H24" i="2"/>
  <c r="H25" i="2"/>
  <c r="G19" i="2"/>
  <c r="G20" i="2"/>
  <c r="G21" i="2"/>
  <c r="G22" i="2"/>
  <c r="G23" i="2"/>
  <c r="G24" i="2"/>
  <c r="G25" i="2"/>
  <c r="E19" i="2"/>
  <c r="E20" i="2"/>
  <c r="E21" i="2"/>
  <c r="E22" i="2"/>
  <c r="E23" i="2"/>
  <c r="E24" i="2"/>
  <c r="E25" i="2"/>
  <c r="I15" i="2"/>
  <c r="C15" i="2"/>
  <c r="I14" i="2"/>
  <c r="C14" i="2"/>
  <c r="I13" i="2"/>
  <c r="C13" i="2"/>
  <c r="C12" i="2"/>
  <c r="C11" i="2"/>
  <c r="H18" i="2"/>
  <c r="I18" i="2" s="1"/>
  <c r="L18" i="2" s="1"/>
  <c r="R18" i="2"/>
  <c r="P18" i="2"/>
  <c r="N18" i="2"/>
  <c r="E18" i="2"/>
  <c r="G18" i="2"/>
  <c r="O18" i="2" l="1"/>
  <c r="Q18" i="2"/>
  <c r="S18" i="2"/>
  <c r="T18" i="2" l="1"/>
  <c r="A25" i="2"/>
  <c r="A24" i="2"/>
  <c r="A23" i="2"/>
  <c r="A22" i="2"/>
  <c r="A21" i="2"/>
  <c r="A20" i="2"/>
  <c r="A19" i="2"/>
  <c r="A18" i="2"/>
  <c r="O14" i="2" l="1"/>
  <c r="I37" i="2" l="1"/>
  <c r="S10" i="2"/>
  <c r="C1" i="11"/>
  <c r="B1" i="11"/>
  <c r="S28" i="2" l="1"/>
  <c r="S26" i="2"/>
  <c r="S27" i="2"/>
  <c r="S29" i="2" l="1"/>
  <c r="S30" i="2" s="1"/>
  <c r="S35" i="2" s="1"/>
  <c r="D36" i="2"/>
</calcChain>
</file>

<file path=xl/sharedStrings.xml><?xml version="1.0" encoding="utf-8"?>
<sst xmlns="http://schemas.openxmlformats.org/spreadsheetml/2006/main" count="196" uniqueCount="149">
  <si>
    <t>State</t>
  </si>
  <si>
    <t>Code</t>
  </si>
  <si>
    <t>Sr No.</t>
  </si>
  <si>
    <t>Total</t>
  </si>
  <si>
    <t>IGST</t>
  </si>
  <si>
    <t>SGST</t>
  </si>
  <si>
    <t>CGST</t>
  </si>
  <si>
    <t>Amount</t>
  </si>
  <si>
    <t>Rate</t>
  </si>
  <si>
    <t>Qty.</t>
  </si>
  <si>
    <t>Name of Product</t>
  </si>
  <si>
    <t>Total Amount Before Tax</t>
  </si>
  <si>
    <t>Total Amount of GST</t>
  </si>
  <si>
    <t>DE140</t>
  </si>
  <si>
    <t>DE141</t>
  </si>
  <si>
    <t>DE142</t>
  </si>
  <si>
    <t>DE143</t>
  </si>
  <si>
    <t>Disc.%</t>
  </si>
  <si>
    <t>Amount in Words</t>
  </si>
  <si>
    <t>State :</t>
  </si>
  <si>
    <t>Code :</t>
  </si>
  <si>
    <t>Place of Supply :</t>
  </si>
  <si>
    <t>Date of Supply :</t>
  </si>
  <si>
    <t>Vehicle No. :</t>
  </si>
  <si>
    <t>TERMS &amp; CONDITIONS : -</t>
  </si>
  <si>
    <t>(1) Goods sold will not be taken back.</t>
  </si>
  <si>
    <t>(2) Interest @ 24%, will be charged from the due date.</t>
  </si>
  <si>
    <t>(3) All goods are dispatched buyer's risk</t>
  </si>
  <si>
    <t>(5) Subject to Rajkot Jurisdiction only.                  E &amp; O E.</t>
  </si>
  <si>
    <t>For, DARSHAN ENTERPRICE</t>
  </si>
  <si>
    <t>Authorised Signature</t>
  </si>
  <si>
    <t>Invoice No.</t>
  </si>
  <si>
    <t>Invoice Date</t>
  </si>
  <si>
    <t>Vehicle No.</t>
  </si>
  <si>
    <t>Date of Supply</t>
  </si>
  <si>
    <t>Place of Supply</t>
  </si>
  <si>
    <t>CGST Rate</t>
  </si>
  <si>
    <t>CGST Amount</t>
  </si>
  <si>
    <t>Rate%</t>
  </si>
  <si>
    <t>SGST Rate</t>
  </si>
  <si>
    <t>SGST Amount</t>
  </si>
  <si>
    <t>IGST Rate</t>
  </si>
  <si>
    <t>IGST Amount</t>
  </si>
  <si>
    <t>HSN Code</t>
  </si>
  <si>
    <t>Taxable Value</t>
  </si>
  <si>
    <t>Dis.%</t>
  </si>
  <si>
    <t>State Name</t>
  </si>
  <si>
    <t>JAMMU AND KASHMIR</t>
  </si>
  <si>
    <t>HIMACHAL PRADESH</t>
  </si>
  <si>
    <t>PUNJAB</t>
  </si>
  <si>
    <t>CHANDIGARH</t>
  </si>
  <si>
    <t>UTTARAKHAND</t>
  </si>
  <si>
    <t>HARYANA</t>
  </si>
  <si>
    <t>DELHI</t>
  </si>
  <si>
    <t>RAJASTHAN</t>
  </si>
  <si>
    <t>UTTAR  PRADESH</t>
  </si>
  <si>
    <t>BIHAR</t>
  </si>
  <si>
    <t>SIKKIM</t>
  </si>
  <si>
    <t>ARUNACHAL PRADESH</t>
  </si>
  <si>
    <t>NAGALAND</t>
  </si>
  <si>
    <t>MANIPUR</t>
  </si>
  <si>
    <t>MIZORAM</t>
  </si>
  <si>
    <t>TRIPURA</t>
  </si>
  <si>
    <t>MEGHLAYA</t>
  </si>
  <si>
    <t>ASSAM</t>
  </si>
  <si>
    <t>WEST BENGAL</t>
  </si>
  <si>
    <t>JHARKHAND</t>
  </si>
  <si>
    <t>ODISHA</t>
  </si>
  <si>
    <t>CHATTISGARH</t>
  </si>
  <si>
    <t>MADHYA PRADESH</t>
  </si>
  <si>
    <t>GUJARAT</t>
  </si>
  <si>
    <t>DAMAN AND DIU</t>
  </si>
  <si>
    <t>DADRA AND NAGAR HAVELI</t>
  </si>
  <si>
    <t>MAHARASHTRA</t>
  </si>
  <si>
    <t>ANDHRA PRADESH(BEFORE DIVISION)</t>
  </si>
  <si>
    <t>KARNATAKA</t>
  </si>
  <si>
    <t>GOA</t>
  </si>
  <si>
    <t>LAKSHWADEEP</t>
  </si>
  <si>
    <t>KERALA</t>
  </si>
  <si>
    <t>TAMIL NADU</t>
  </si>
  <si>
    <t>PUDUCHERRY</t>
  </si>
  <si>
    <t>ANDAMAN AND NICOBAR ISLANDS</t>
  </si>
  <si>
    <t>TELANGANA</t>
  </si>
  <si>
    <t>ANDHRA PRADESH (NEW)</t>
  </si>
  <si>
    <t>Transport Name</t>
  </si>
  <si>
    <t>Contact No.</t>
  </si>
  <si>
    <t>Patel Transport</t>
  </si>
  <si>
    <t>Address</t>
  </si>
  <si>
    <t>Unit</t>
  </si>
  <si>
    <t>Units in</t>
  </si>
  <si>
    <t>Pcs.</t>
  </si>
  <si>
    <t>Grand Total</t>
  </si>
  <si>
    <t>Freight Charges</t>
  </si>
  <si>
    <t>Load. &amp; Packing Charges</t>
  </si>
  <si>
    <t>Insurance Charges</t>
  </si>
  <si>
    <t>Other Charges</t>
  </si>
  <si>
    <t>(4) NO Guarantee on colour, cloth , print and thread</t>
  </si>
  <si>
    <t>24ABSPG1687Q1ZV</t>
  </si>
  <si>
    <t>GSTIN No. :</t>
  </si>
  <si>
    <t>Thank you for Business with Us.</t>
  </si>
  <si>
    <t>DE123</t>
  </si>
  <si>
    <t>Buyer m/s :</t>
  </si>
  <si>
    <t>GSTIN No.</t>
  </si>
  <si>
    <t>City</t>
  </si>
  <si>
    <t>City :</t>
  </si>
  <si>
    <t>Address L1 :</t>
  </si>
  <si>
    <t>Address L2 :</t>
  </si>
  <si>
    <t>Mobile No. :</t>
  </si>
  <si>
    <t>Pincode :</t>
  </si>
  <si>
    <t>Cash / Debit</t>
  </si>
  <si>
    <t>Date :</t>
  </si>
  <si>
    <t>Courier/ Receipt No.:</t>
  </si>
  <si>
    <t>Delivery Mode :</t>
  </si>
  <si>
    <t>Transport/ Courier Name :</t>
  </si>
  <si>
    <t>-</t>
  </si>
  <si>
    <t xml:space="preserve">Type: </t>
  </si>
  <si>
    <t>Customers Name</t>
  </si>
  <si>
    <t>Address L1</t>
  </si>
  <si>
    <t>Address L2</t>
  </si>
  <si>
    <t>Pincode</t>
  </si>
  <si>
    <t>Mobile No.</t>
  </si>
  <si>
    <t>Date</t>
  </si>
  <si>
    <t>Devang Garach</t>
  </si>
  <si>
    <t>" RAJHANS " Block No. - 71, 4 - Nandanvan Society, Nanavati Chowk, 150 Feet Ring Road, RAJKOT - 360 007 ( GUJARAT ) - INDIA</t>
  </si>
  <si>
    <t xml:space="preserve">L.R. No. : </t>
  </si>
  <si>
    <t xml:space="preserve">Bale No. : </t>
  </si>
  <si>
    <t>Original Copy</t>
  </si>
  <si>
    <t>Bank Details</t>
  </si>
  <si>
    <t>Bank Name</t>
  </si>
  <si>
    <t>Bank Branch</t>
  </si>
  <si>
    <t>A/c No.</t>
  </si>
  <si>
    <t>IFSC Code</t>
  </si>
  <si>
    <t>HDFC BANK</t>
  </si>
  <si>
    <t>KALAWAD ROAD</t>
  </si>
  <si>
    <t>HDFC015456</t>
  </si>
  <si>
    <t>Invoice Type</t>
  </si>
  <si>
    <t>Buyer Name</t>
  </si>
  <si>
    <t>Delivery Mode</t>
  </si>
  <si>
    <t>Transpport Name</t>
  </si>
  <si>
    <t>Bale No.</t>
  </si>
  <si>
    <t>L.R. No.</t>
  </si>
  <si>
    <t>Total Quantity :</t>
  </si>
  <si>
    <t>H.S.N. Code</t>
  </si>
  <si>
    <t>Courier Reciepe No.</t>
  </si>
  <si>
    <t>C:\Users\we@we\Desktop\53266.9932997685_13-06-2018_.pdf</t>
  </si>
  <si>
    <t>Khushika Miss Vol-42</t>
  </si>
  <si>
    <t>Arunoday Textile Mayuri Fab.</t>
  </si>
  <si>
    <t>Matushree Kush vol-32</t>
  </si>
  <si>
    <t>komalika kurti vol-17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</si>
</sst>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₹-459]#,##0.00"/>
    <numFmt numFmtId="165" formatCode="_([$₹-459]* #,##0.00_);_([$₹-459]* \(#,##0.00\);_([$₹-459]* &quot;-&quot;??_);_(@_)"/>
    <numFmt numFmtId="166" formatCode="[$-F800]dddd\,\ mmmm\ dd\,\ yyyy"/>
    <numFmt numFmtId="167" formatCode="00"/>
    <numFmt numFmtId="168" formatCode="[$-14009]dd\-mm\-yyyy;@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6D0D0D"/>
      <name val="Calibri"/>
      <family val="2"/>
      <scheme val="minor"/>
    </font>
    <font>
      <sz val="11"/>
      <color rgb="FF6D0D0D"/>
      <name val="Calibri"/>
      <family val="2"/>
      <scheme val="minor"/>
    </font>
    <font>
      <b/>
      <sz val="14"/>
      <color rgb="FF6D0D0D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6D0D0D"/>
      <name val="Calibri"/>
      <family val="2"/>
      <scheme val="minor"/>
    </font>
    <font>
      <b/>
      <sz val="9"/>
      <color rgb="FF6D0D0D"/>
      <name val="Calibri"/>
      <family val="2"/>
      <scheme val="minor"/>
    </font>
    <font>
      <sz val="9"/>
      <color rgb="FF6D0D0D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6D0D0D"/>
      <name val="Calibri"/>
      <family val="2"/>
      <scheme val="minor"/>
    </font>
    <font>
      <b/>
      <sz val="12"/>
      <color rgb="FF6D0D0D"/>
      <name val="Calibri"/>
      <family val="2"/>
      <scheme val="minor"/>
    </font>
    <font>
      <b/>
      <sz val="9.5"/>
      <color rgb="FF6D0D0D"/>
      <name val="Calibri"/>
      <family val="2"/>
      <scheme val="minor"/>
    </font>
    <font>
      <sz val="22"/>
      <color theme="1"/>
      <name val="Free 3 of 9 Extended"/>
    </font>
    <font>
      <sz val="22"/>
      <color theme="1"/>
      <name val="Calibri"/>
      <family val="2"/>
      <scheme val="minor"/>
    </font>
    <font>
      <b/>
      <sz val="11.5"/>
      <color rgb="FF6D0D0D"/>
      <name val="Calibri"/>
      <family val="2"/>
      <scheme val="minor"/>
    </font>
    <font>
      <sz val="11.5"/>
      <color rgb="FF6D0D0D"/>
      <name val="Calibri"/>
      <family val="2"/>
      <scheme val="minor"/>
    </font>
    <font>
      <b/>
      <sz val="48"/>
      <color rgb="FF6D0D0D"/>
      <name val="Free 3 of 9 Extended"/>
    </font>
    <font>
      <b/>
      <sz val="13.5"/>
      <color rgb="FF6D0D0D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ck">
        <color rgb="FF6D0D0D"/>
      </left>
      <right/>
      <top style="thick">
        <color rgb="FF6D0D0D"/>
      </top>
      <bottom/>
      <diagonal/>
    </border>
    <border>
      <left/>
      <right/>
      <top style="thick">
        <color rgb="FF6D0D0D"/>
      </top>
      <bottom/>
      <diagonal/>
    </border>
    <border>
      <left/>
      <right style="thick">
        <color rgb="FF6D0D0D"/>
      </right>
      <top style="thick">
        <color rgb="FF6D0D0D"/>
      </top>
      <bottom/>
      <diagonal/>
    </border>
    <border>
      <left style="thick">
        <color rgb="FF6D0D0D"/>
      </left>
      <right/>
      <top/>
      <bottom/>
      <diagonal/>
    </border>
    <border>
      <left/>
      <right style="thick">
        <color rgb="FF6D0D0D"/>
      </right>
      <top/>
      <bottom/>
      <diagonal/>
    </border>
    <border>
      <left style="thick">
        <color rgb="FF6D0D0D"/>
      </left>
      <right/>
      <top/>
      <bottom style="thick">
        <color rgb="FF6D0D0D"/>
      </bottom>
      <diagonal/>
    </border>
    <border>
      <left/>
      <right/>
      <top/>
      <bottom style="thick">
        <color rgb="FF6D0D0D"/>
      </bottom>
      <diagonal/>
    </border>
    <border>
      <left/>
      <right style="thick">
        <color rgb="FF6D0D0D"/>
      </right>
      <top/>
      <bottom style="thick">
        <color rgb="FF6D0D0D"/>
      </bottom>
      <diagonal/>
    </border>
    <border>
      <left style="thick">
        <color rgb="FF6D0D0D"/>
      </left>
      <right/>
      <top style="thin">
        <color rgb="FF6D0D0D"/>
      </top>
      <bottom/>
      <diagonal/>
    </border>
    <border>
      <left style="thick">
        <color rgb="FF6D0D0D"/>
      </left>
      <right/>
      <top style="thin">
        <color rgb="FF6D0D0D"/>
      </top>
      <bottom style="thin">
        <color rgb="FF6D0D0D"/>
      </bottom>
      <diagonal/>
    </border>
    <border>
      <left/>
      <right/>
      <top style="thin">
        <color rgb="FF6D0D0D"/>
      </top>
      <bottom style="thin">
        <color rgb="FF6D0D0D"/>
      </bottom>
      <diagonal/>
    </border>
    <border>
      <left/>
      <right style="thick">
        <color rgb="FF6D0D0D"/>
      </right>
      <top style="thin">
        <color rgb="FF6D0D0D"/>
      </top>
      <bottom style="thin">
        <color rgb="FF6D0D0D"/>
      </bottom>
      <diagonal/>
    </border>
    <border>
      <left/>
      <right/>
      <top/>
      <bottom style="thin">
        <color rgb="FF6D0D0D"/>
      </bottom>
      <diagonal/>
    </border>
    <border>
      <left style="thick">
        <color rgb="FF6D0D0D"/>
      </left>
      <right/>
      <top/>
      <bottom style="thin">
        <color rgb="FF6D0D0D"/>
      </bottom>
      <diagonal/>
    </border>
    <border>
      <left/>
      <right style="thick">
        <color rgb="FF6D0D0D"/>
      </right>
      <top/>
      <bottom style="thin">
        <color rgb="FF6D0D0D"/>
      </bottom>
      <diagonal/>
    </border>
    <border>
      <left/>
      <right style="thin">
        <color rgb="FF6D0D0D"/>
      </right>
      <top/>
      <bottom/>
      <diagonal/>
    </border>
    <border>
      <left style="thin">
        <color rgb="FF6D0D0D"/>
      </left>
      <right/>
      <top/>
      <bottom/>
      <diagonal/>
    </border>
    <border>
      <left style="thin">
        <color rgb="FF6D0D0D"/>
      </left>
      <right style="thin">
        <color rgb="FF6D0D0D"/>
      </right>
      <top/>
      <bottom/>
      <diagonal/>
    </border>
    <border>
      <left style="thin">
        <color rgb="FF6D0D0D"/>
      </left>
      <right style="thin">
        <color rgb="FF6D0D0D"/>
      </right>
      <top style="thin">
        <color rgb="FF6D0D0D"/>
      </top>
      <bottom style="thin">
        <color rgb="FF6D0D0D"/>
      </bottom>
      <diagonal/>
    </border>
    <border>
      <left style="thin">
        <color rgb="FF6D0D0D"/>
      </left>
      <right/>
      <top style="thin">
        <color rgb="FF6D0D0D"/>
      </top>
      <bottom style="thin">
        <color rgb="FF6D0D0D"/>
      </bottom>
      <diagonal/>
    </border>
    <border>
      <left/>
      <right style="thin">
        <color rgb="FF6D0D0D"/>
      </right>
      <top style="thin">
        <color rgb="FF6D0D0D"/>
      </top>
      <bottom style="thin">
        <color rgb="FF6D0D0D"/>
      </bottom>
      <diagonal/>
    </border>
    <border>
      <left style="thin">
        <color rgb="FF6D0D0D"/>
      </left>
      <right style="thin">
        <color rgb="FF6D0D0D"/>
      </right>
      <top/>
      <bottom style="thin">
        <color rgb="FF6D0D0D"/>
      </bottom>
      <diagonal/>
    </border>
    <border>
      <left/>
      <right style="thin">
        <color rgb="FF6D0D0D"/>
      </right>
      <top style="thin">
        <color rgb="FF6D0D0D"/>
      </top>
      <bottom/>
      <diagonal/>
    </border>
    <border>
      <left/>
      <right/>
      <top style="thin">
        <color rgb="FF6D0D0D"/>
      </top>
      <bottom/>
      <diagonal/>
    </border>
    <border>
      <left style="thin">
        <color rgb="FF6D0D0D"/>
      </left>
      <right/>
      <top style="thin">
        <color rgb="FF6D0D0D"/>
      </top>
      <bottom/>
      <diagonal/>
    </border>
    <border>
      <left style="thin">
        <color rgb="FF6D0D0D"/>
      </left>
      <right style="thin">
        <color rgb="FF6D0D0D"/>
      </right>
      <top style="thin">
        <color rgb="FF6D0D0D"/>
      </top>
      <bottom/>
      <diagonal/>
    </border>
    <border>
      <left style="thin">
        <color rgb="FF6D0D0D"/>
      </left>
      <right/>
      <top/>
      <bottom style="thin">
        <color rgb="FF6D0D0D"/>
      </bottom>
      <diagonal/>
    </border>
    <border>
      <left/>
      <right style="thin">
        <color rgb="FF6D0D0D"/>
      </right>
      <top/>
      <bottom style="thin">
        <color rgb="FF6D0D0D"/>
      </bottom>
      <diagonal/>
    </border>
    <border>
      <left style="thin">
        <color rgb="FF6D0D0D"/>
      </left>
      <right style="thick">
        <color rgb="FF6D0D0D"/>
      </right>
      <top style="thin">
        <color rgb="FF6D0D0D"/>
      </top>
      <bottom style="thin">
        <color rgb="FF6D0D0D"/>
      </bottom>
      <diagonal/>
    </border>
    <border>
      <left style="thick">
        <color rgb="FF6D0D0D"/>
      </left>
      <right style="thin">
        <color rgb="FF6D0D0D"/>
      </right>
      <top style="thin">
        <color rgb="FF6D0D0D"/>
      </top>
      <bottom style="thin">
        <color rgb="FF6D0D0D"/>
      </bottom>
      <diagonal/>
    </border>
    <border>
      <left/>
      <right style="thick">
        <color rgb="FF6D0D0D"/>
      </right>
      <top style="thin">
        <color rgb="FF6D0D0D"/>
      </top>
      <bottom/>
      <diagonal/>
    </border>
    <border>
      <left style="thin">
        <color rgb="FF6D0D0D"/>
      </left>
      <right/>
      <top/>
      <bottom style="thick">
        <color rgb="FF6D0D0D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rgb="FF6D0D0D"/>
      </right>
      <top/>
      <bottom/>
      <diagonal/>
    </border>
    <border>
      <left style="thin">
        <color rgb="FF6D0D0D"/>
      </left>
      <right/>
      <top style="thin">
        <color auto="1"/>
      </top>
      <bottom style="thin">
        <color rgb="FF6D0D0D"/>
      </bottom>
      <diagonal/>
    </border>
    <border>
      <left style="thin">
        <color rgb="FF6D0D0D"/>
      </left>
      <right style="thin">
        <color auto="1"/>
      </right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225">
    <xf numFmtId="0" fontId="0" fillId="0" borderId="0" xfId="0"/>
    <xf numFmtId="0" fontId="0" fillId="0" borderId="0" xfId="0" applyFill="1" applyBorder="1"/>
    <xf numFmtId="0" fontId="0" fillId="0" borderId="0" xfId="0" applyFill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/>
    <xf numFmtId="165" fontId="4" fillId="0" borderId="0" xfId="0" applyNumberFormat="1" applyFont="1"/>
    <xf numFmtId="0" fontId="4" fillId="0" borderId="0" xfId="0" applyFont="1" applyAlignment="1">
      <alignment horizontal="center"/>
    </xf>
    <xf numFmtId="0" fontId="0" fillId="0" borderId="0" xfId="0" applyBorder="1"/>
    <xf numFmtId="14" fontId="0" fillId="0" borderId="0" xfId="0" applyNumberFormat="1"/>
    <xf numFmtId="0" fontId="9" fillId="0" borderId="0" xfId="0" applyFont="1" applyFill="1" applyBorder="1" applyAlignment="1"/>
    <xf numFmtId="167" fontId="0" fillId="0" borderId="0" xfId="0" applyNumberFormat="1"/>
    <xf numFmtId="0" fontId="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5" fontId="0" fillId="0" borderId="0" xfId="0" applyNumberFormat="1" applyBorder="1"/>
    <xf numFmtId="164" fontId="0" fillId="0" borderId="0" xfId="0" applyNumberFormat="1" applyBorder="1"/>
    <xf numFmtId="0" fontId="9" fillId="0" borderId="0" xfId="0" applyFont="1" applyFill="1" applyBorder="1"/>
    <xf numFmtId="0" fontId="14" fillId="0" borderId="0" xfId="0" applyFont="1"/>
    <xf numFmtId="0" fontId="15" fillId="0" borderId="0" xfId="0" applyFont="1"/>
    <xf numFmtId="0" fontId="0" fillId="0" borderId="0" xfId="0" applyAlignment="1"/>
    <xf numFmtId="22" fontId="14" fillId="0" borderId="0" xfId="0" applyNumberFormat="1" applyFont="1"/>
    <xf numFmtId="22" fontId="0" fillId="0" borderId="0" xfId="0" applyNumberFormat="1"/>
    <xf numFmtId="0" fontId="12" fillId="0" borderId="0" xfId="0" applyFont="1" applyFill="1" applyBorder="1" applyAlignment="1"/>
    <xf numFmtId="0" fontId="9" fillId="0" borderId="1" xfId="0" applyFont="1" applyFill="1" applyBorder="1"/>
    <xf numFmtId="0" fontId="9" fillId="0" borderId="2" xfId="0" applyFont="1" applyFill="1" applyBorder="1"/>
    <xf numFmtId="0" fontId="9" fillId="0" borderId="3" xfId="0" applyFont="1" applyFill="1" applyBorder="1"/>
    <xf numFmtId="0" fontId="9" fillId="0" borderId="4" xfId="0" applyFont="1" applyFill="1" applyBorder="1"/>
    <xf numFmtId="0" fontId="9" fillId="0" borderId="5" xfId="0" applyFont="1" applyFill="1" applyBorder="1"/>
    <xf numFmtId="165" fontId="8" fillId="0" borderId="5" xfId="2" applyNumberFormat="1" applyFont="1" applyFill="1" applyBorder="1" applyAlignment="1">
      <alignment horizontal="center"/>
    </xf>
    <xf numFmtId="0" fontId="9" fillId="0" borderId="10" xfId="0" applyFont="1" applyFill="1" applyBorder="1" applyAlignment="1"/>
    <xf numFmtId="0" fontId="9" fillId="0" borderId="11" xfId="0" applyFont="1" applyFill="1" applyBorder="1" applyAlignment="1"/>
    <xf numFmtId="0" fontId="4" fillId="0" borderId="11" xfId="0" applyFont="1" applyFill="1" applyBorder="1"/>
    <xf numFmtId="0" fontId="9" fillId="0" borderId="18" xfId="0" applyFont="1" applyFill="1" applyBorder="1"/>
    <xf numFmtId="0" fontId="11" fillId="0" borderId="18" xfId="0" applyFont="1" applyFill="1" applyBorder="1" applyAlignment="1">
      <alignment horizontal="center"/>
    </xf>
    <xf numFmtId="165" fontId="9" fillId="0" borderId="18" xfId="0" applyNumberFormat="1" applyFont="1" applyFill="1" applyBorder="1" applyAlignment="1">
      <alignment horizontal="center"/>
    </xf>
    <xf numFmtId="0" fontId="3" fillId="0" borderId="18" xfId="0" applyFont="1" applyFill="1" applyBorder="1" applyAlignment="1">
      <alignment horizontal="right"/>
    </xf>
    <xf numFmtId="0" fontId="3" fillId="0" borderId="22" xfId="0" applyFont="1" applyBorder="1"/>
    <xf numFmtId="0" fontId="3" fillId="0" borderId="19" xfId="0" applyFont="1" applyFill="1" applyBorder="1" applyAlignment="1">
      <alignment horizontal="center"/>
    </xf>
    <xf numFmtId="0" fontId="4" fillId="0" borderId="19" xfId="0" applyFont="1" applyFill="1" applyBorder="1" applyAlignment="1"/>
    <xf numFmtId="166" fontId="3" fillId="0" borderId="19" xfId="0" applyNumberFormat="1" applyFont="1" applyFill="1" applyBorder="1" applyAlignment="1">
      <alignment horizontal="righ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 indent="1"/>
    </xf>
    <xf numFmtId="0" fontId="16" fillId="0" borderId="11" xfId="0" applyFont="1" applyFill="1" applyBorder="1" applyAlignment="1">
      <alignment horizontal="right" vertical="center"/>
    </xf>
    <xf numFmtId="0" fontId="17" fillId="0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horizontal="left" vertical="center"/>
    </xf>
    <xf numFmtId="0" fontId="8" fillId="0" borderId="9" xfId="0" applyFont="1" applyFill="1" applyBorder="1" applyAlignment="1">
      <alignment horizontal="left" indent="1"/>
    </xf>
    <xf numFmtId="0" fontId="8" fillId="0" borderId="23" xfId="0" applyFont="1" applyFill="1" applyBorder="1" applyAlignment="1">
      <alignment horizontal="left" indent="1"/>
    </xf>
    <xf numFmtId="0" fontId="8" fillId="0" borderId="4" xfId="0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left" indent="1"/>
    </xf>
    <xf numFmtId="0" fontId="8" fillId="0" borderId="16" xfId="0" applyFont="1" applyFill="1" applyBorder="1" applyAlignment="1">
      <alignment horizontal="left" indent="1"/>
    </xf>
    <xf numFmtId="0" fontId="8" fillId="0" borderId="14" xfId="0" applyFont="1" applyFill="1" applyBorder="1" applyAlignment="1">
      <alignment horizontal="left" indent="1"/>
    </xf>
    <xf numFmtId="0" fontId="8" fillId="0" borderId="13" xfId="0" applyFont="1" applyFill="1" applyBorder="1" applyAlignment="1">
      <alignment horizontal="left" indent="1"/>
    </xf>
    <xf numFmtId="0" fontId="3" fillId="0" borderId="19" xfId="0" applyFont="1" applyFill="1" applyBorder="1" applyAlignment="1">
      <alignment horizontal="right"/>
    </xf>
    <xf numFmtId="0" fontId="20" fillId="0" borderId="0" xfId="3"/>
    <xf numFmtId="1" fontId="0" fillId="0" borderId="0" xfId="0" applyNumberFormat="1"/>
    <xf numFmtId="165" fontId="9" fillId="0" borderId="16" xfId="0" applyNumberFormat="1" applyFont="1" applyFill="1" applyBorder="1" applyAlignment="1">
      <alignment horizontal="center"/>
    </xf>
    <xf numFmtId="0" fontId="13" fillId="0" borderId="19" xfId="0" applyFont="1" applyFill="1" applyBorder="1" applyAlignment="1">
      <alignment horizontal="center" vertical="center"/>
    </xf>
    <xf numFmtId="0" fontId="9" fillId="0" borderId="18" xfId="1" applyNumberFormat="1" applyFont="1" applyFill="1" applyBorder="1"/>
    <xf numFmtId="0" fontId="9" fillId="0" borderId="9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3" fillId="0" borderId="13" xfId="0" applyFont="1" applyFill="1" applyBorder="1" applyAlignment="1"/>
    <xf numFmtId="0" fontId="9" fillId="0" borderId="35" xfId="0" applyFont="1" applyFill="1" applyBorder="1" applyAlignment="1">
      <alignment horizontal="center"/>
    </xf>
    <xf numFmtId="165" fontId="9" fillId="0" borderId="18" xfId="0" applyNumberFormat="1" applyFont="1" applyFill="1" applyBorder="1"/>
    <xf numFmtId="168" fontId="4" fillId="0" borderId="18" xfId="0" applyNumberFormat="1" applyFont="1" applyFill="1" applyBorder="1" applyAlignment="1">
      <alignment horizontal="center"/>
    </xf>
    <xf numFmtId="165" fontId="9" fillId="0" borderId="37" xfId="0" applyNumberFormat="1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right"/>
    </xf>
    <xf numFmtId="0" fontId="3" fillId="0" borderId="16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 indent="1"/>
    </xf>
    <xf numFmtId="0" fontId="3" fillId="0" borderId="16" xfId="0" applyFont="1" applyFill="1" applyBorder="1" applyAlignment="1">
      <alignment horizontal="left" indent="1"/>
    </xf>
    <xf numFmtId="0" fontId="3" fillId="0" borderId="17" xfId="0" applyFont="1" applyFill="1" applyBorder="1" applyAlignment="1">
      <alignment horizontal="left" indent="1"/>
    </xf>
    <xf numFmtId="0" fontId="13" fillId="0" borderId="30" xfId="0" applyFont="1" applyFill="1" applyBorder="1" applyAlignment="1">
      <alignment horizontal="center" vertical="top" wrapText="1"/>
    </xf>
    <xf numFmtId="0" fontId="13" fillId="0" borderId="19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wrapText="1"/>
    </xf>
    <xf numFmtId="0" fontId="3" fillId="0" borderId="10" xfId="0" applyFont="1" applyFill="1" applyBorder="1" applyAlignment="1">
      <alignment horizontal="right"/>
    </xf>
    <xf numFmtId="0" fontId="3" fillId="0" borderId="11" xfId="0" applyFont="1" applyFill="1" applyBorder="1" applyAlignment="1">
      <alignment horizontal="right"/>
    </xf>
    <xf numFmtId="0" fontId="3" fillId="0" borderId="21" xfId="0" applyFont="1" applyFill="1" applyBorder="1" applyAlignment="1">
      <alignment horizontal="right"/>
    </xf>
    <xf numFmtId="0" fontId="3" fillId="0" borderId="36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left" indent="1"/>
    </xf>
    <xf numFmtId="0" fontId="9" fillId="0" borderId="0" xfId="0" applyFont="1" applyFill="1" applyBorder="1" applyAlignment="1">
      <alignment horizontal="left" indent="1"/>
    </xf>
    <xf numFmtId="0" fontId="9" fillId="0" borderId="25" xfId="0" applyFont="1" applyFill="1" applyBorder="1" applyAlignment="1">
      <alignment horizontal="left" indent="1"/>
    </xf>
    <xf numFmtId="0" fontId="9" fillId="0" borderId="24" xfId="0" applyFont="1" applyFill="1" applyBorder="1" applyAlignment="1">
      <alignment horizontal="left" indent="1"/>
    </xf>
    <xf numFmtId="0" fontId="9" fillId="0" borderId="23" xfId="0" applyFont="1" applyFill="1" applyBorder="1" applyAlignment="1">
      <alignment horizontal="left" indent="1"/>
    </xf>
    <xf numFmtId="0" fontId="9" fillId="0" borderId="17" xfId="0" applyFont="1" applyFill="1" applyBorder="1" applyAlignment="1">
      <alignment horizontal="left" indent="1"/>
    </xf>
    <xf numFmtId="0" fontId="9" fillId="0" borderId="16" xfId="0" applyFont="1" applyFill="1" applyBorder="1" applyAlignment="1">
      <alignment horizontal="left" indent="1"/>
    </xf>
    <xf numFmtId="0" fontId="9" fillId="0" borderId="27" xfId="0" applyFont="1" applyFill="1" applyBorder="1" applyAlignment="1">
      <alignment horizontal="left" indent="1"/>
    </xf>
    <xf numFmtId="0" fontId="9" fillId="0" borderId="13" xfId="0" applyFont="1" applyFill="1" applyBorder="1" applyAlignment="1">
      <alignment horizontal="left" indent="1"/>
    </xf>
    <xf numFmtId="0" fontId="9" fillId="0" borderId="28" xfId="0" applyFont="1" applyFill="1" applyBorder="1" applyAlignment="1">
      <alignment horizontal="left" indent="1"/>
    </xf>
    <xf numFmtId="0" fontId="7" fillId="0" borderId="9" xfId="0" applyFont="1" applyFill="1" applyBorder="1" applyAlignment="1">
      <alignment horizontal="left" vertical="top" indent="1"/>
    </xf>
    <xf numFmtId="0" fontId="7" fillId="0" borderId="24" xfId="0" applyFont="1" applyFill="1" applyBorder="1" applyAlignment="1">
      <alignment horizontal="left" vertical="top" indent="1"/>
    </xf>
    <xf numFmtId="0" fontId="7" fillId="0" borderId="0" xfId="0" applyFont="1" applyFill="1" applyBorder="1" applyAlignment="1">
      <alignment horizontal="left" vertical="top" indent="1"/>
    </xf>
    <xf numFmtId="0" fontId="3" fillId="0" borderId="10" xfId="0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vertical="center"/>
    </xf>
    <xf numFmtId="165" fontId="19" fillId="0" borderId="5" xfId="0" applyNumberFormat="1" applyFont="1" applyFill="1" applyBorder="1" applyAlignment="1">
      <alignment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left" vertical="center" indent="1"/>
    </xf>
    <xf numFmtId="0" fontId="5" fillId="0" borderId="24" xfId="0" applyFont="1" applyFill="1" applyBorder="1" applyAlignment="1">
      <alignment horizontal="left" vertical="center" indent="1"/>
    </xf>
    <xf numFmtId="0" fontId="5" fillId="0" borderId="31" xfId="0" applyFont="1" applyFill="1" applyBorder="1" applyAlignment="1">
      <alignment horizontal="left" vertical="center" indent="1"/>
    </xf>
    <xf numFmtId="0" fontId="5" fillId="0" borderId="17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5" fillId="0" borderId="5" xfId="0" applyFont="1" applyFill="1" applyBorder="1" applyAlignment="1">
      <alignment horizontal="left" vertical="center" indent="1"/>
    </xf>
    <xf numFmtId="22" fontId="18" fillId="0" borderId="25" xfId="0" applyNumberFormat="1" applyFont="1" applyFill="1" applyBorder="1" applyAlignment="1">
      <alignment horizontal="center"/>
    </xf>
    <xf numFmtId="0" fontId="18" fillId="0" borderId="24" xfId="0" applyFont="1" applyFill="1" applyBorder="1" applyAlignment="1">
      <alignment horizontal="center"/>
    </xf>
    <xf numFmtId="0" fontId="18" fillId="0" borderId="17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27" xfId="0" applyFont="1" applyFill="1" applyBorder="1" applyAlignment="1">
      <alignment horizontal="center"/>
    </xf>
    <xf numFmtId="0" fontId="18" fillId="0" borderId="13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left" indent="1"/>
    </xf>
    <xf numFmtId="0" fontId="8" fillId="0" borderId="7" xfId="0" applyFont="1" applyFill="1" applyBorder="1" applyAlignment="1">
      <alignment horizontal="left" indent="1"/>
    </xf>
    <xf numFmtId="0" fontId="8" fillId="0" borderId="4" xfId="0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left" indent="1"/>
    </xf>
    <xf numFmtId="0" fontId="4" fillId="0" borderId="1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left" vertical="center" indent="1"/>
    </xf>
    <xf numFmtId="0" fontId="3" fillId="0" borderId="0" xfId="0" applyFont="1" applyFill="1" applyBorder="1" applyAlignment="1">
      <alignment horizontal="left" vertical="center" indent="1"/>
    </xf>
    <xf numFmtId="0" fontId="3" fillId="0" borderId="32" xfId="0" applyFont="1" applyFill="1" applyBorder="1" applyAlignment="1">
      <alignment horizontal="left" vertical="center" indent="1"/>
    </xf>
    <xf numFmtId="0" fontId="3" fillId="0" borderId="7" xfId="0" applyFont="1" applyFill="1" applyBorder="1" applyAlignment="1">
      <alignment horizontal="left" vertical="center" indent="1"/>
    </xf>
    <xf numFmtId="0" fontId="3" fillId="0" borderId="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22" fontId="8" fillId="0" borderId="13" xfId="0" applyNumberFormat="1" applyFont="1" applyFill="1" applyBorder="1" applyAlignment="1">
      <alignment horizontal="right"/>
    </xf>
    <xf numFmtId="22" fontId="9" fillId="0" borderId="13" xfId="0" applyNumberFormat="1" applyFont="1" applyFill="1" applyBorder="1" applyAlignment="1">
      <alignment horizontal="center"/>
    </xf>
    <xf numFmtId="22" fontId="9" fillId="0" borderId="28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center"/>
    </xf>
    <xf numFmtId="0" fontId="8" fillId="0" borderId="17" xfId="0" applyFont="1" applyFill="1" applyBorder="1" applyAlignment="1">
      <alignment horizontal="center"/>
    </xf>
    <xf numFmtId="0" fontId="8" fillId="0" borderId="16" xfId="0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right" indent="2"/>
    </xf>
    <xf numFmtId="165" fontId="3" fillId="0" borderId="5" xfId="0" applyNumberFormat="1" applyFont="1" applyFill="1" applyBorder="1" applyAlignment="1">
      <alignment horizontal="right" indent="2"/>
    </xf>
    <xf numFmtId="165" fontId="3" fillId="0" borderId="27" xfId="0" applyNumberFormat="1" applyFont="1" applyFill="1" applyBorder="1" applyAlignment="1">
      <alignment horizontal="center"/>
    </xf>
    <xf numFmtId="165" fontId="3" fillId="0" borderId="12" xfId="0" applyNumberFormat="1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21" xfId="0" applyFont="1" applyFill="1" applyBorder="1" applyAlignment="1">
      <alignment horizontal="center"/>
    </xf>
    <xf numFmtId="0" fontId="13" fillId="0" borderId="19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left" indent="1"/>
    </xf>
    <xf numFmtId="0" fontId="4" fillId="0" borderId="12" xfId="0" applyFont="1" applyFill="1" applyBorder="1" applyAlignment="1">
      <alignment horizontal="left" indent="1"/>
    </xf>
    <xf numFmtId="0" fontId="4" fillId="0" borderId="0" xfId="0" applyFont="1" applyFill="1" applyBorder="1" applyAlignment="1">
      <alignment horizontal="left" indent="1"/>
    </xf>
    <xf numFmtId="0" fontId="4" fillId="0" borderId="5" xfId="0" applyFont="1" applyFill="1" applyBorder="1" applyAlignment="1">
      <alignment horizontal="left" indent="1"/>
    </xf>
    <xf numFmtId="0" fontId="4" fillId="0" borderId="25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1"/>
    </xf>
    <xf numFmtId="0" fontId="13" fillId="0" borderId="29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6" fillId="0" borderId="11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left" vertical="center"/>
    </xf>
    <xf numFmtId="0" fontId="9" fillId="0" borderId="33" xfId="0" applyFont="1" applyFill="1" applyBorder="1" applyAlignment="1"/>
    <xf numFmtId="0" fontId="9" fillId="0" borderId="34" xfId="0" applyFont="1" applyFill="1" applyBorder="1" applyAlignment="1"/>
    <xf numFmtId="9" fontId="9" fillId="0" borderId="0" xfId="1" applyFont="1" applyFill="1" applyBorder="1" applyAlignment="1">
      <alignment horizontal="center"/>
    </xf>
    <xf numFmtId="9" fontId="9" fillId="0" borderId="16" xfId="1" applyFont="1" applyFill="1" applyBorder="1" applyAlignment="1">
      <alignment horizontal="center"/>
    </xf>
    <xf numFmtId="0" fontId="4" fillId="0" borderId="27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5" fontId="4" fillId="0" borderId="5" xfId="0" applyNumberFormat="1" applyFont="1" applyFill="1" applyBorder="1" applyAlignment="1">
      <alignment horizontal="center"/>
    </xf>
    <xf numFmtId="165" fontId="4" fillId="0" borderId="17" xfId="0" applyNumberFormat="1" applyFont="1" applyFill="1" applyBorder="1" applyAlignment="1">
      <alignment horizontal="center"/>
    </xf>
    <xf numFmtId="165" fontId="4" fillId="0" borderId="27" xfId="0" applyNumberFormat="1" applyFont="1" applyFill="1" applyBorder="1" applyAlignment="1">
      <alignment horizontal="center"/>
    </xf>
    <xf numFmtId="165" fontId="4" fillId="0" borderId="15" xfId="0" applyNumberFormat="1" applyFont="1" applyFill="1" applyBorder="1" applyAlignment="1">
      <alignment horizontal="center"/>
    </xf>
    <xf numFmtId="9" fontId="9" fillId="0" borderId="17" xfId="1" applyFont="1" applyFill="1" applyBorder="1" applyAlignment="1">
      <alignment horizontal="center"/>
    </xf>
    <xf numFmtId="165" fontId="8" fillId="0" borderId="17" xfId="0" applyNumberFormat="1" applyFont="1" applyFill="1" applyBorder="1" applyAlignment="1">
      <alignment horizontal="center"/>
    </xf>
    <xf numFmtId="165" fontId="8" fillId="0" borderId="16" xfId="0" applyNumberFormat="1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0" fontId="7" fillId="0" borderId="27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165" fontId="3" fillId="0" borderId="27" xfId="0" applyNumberFormat="1" applyFont="1" applyFill="1" applyBorder="1" applyAlignment="1">
      <alignment horizontal="right" indent="2"/>
    </xf>
    <xf numFmtId="165" fontId="3" fillId="0" borderId="15" xfId="0" applyNumberFormat="1" applyFont="1" applyFill="1" applyBorder="1" applyAlignment="1">
      <alignment horizontal="right" indent="2"/>
    </xf>
    <xf numFmtId="0" fontId="3" fillId="0" borderId="0" xfId="0" applyFont="1" applyFill="1" applyBorder="1" applyAlignment="1">
      <alignment horizontal="right"/>
    </xf>
    <xf numFmtId="0" fontId="9" fillId="0" borderId="11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16" fillId="0" borderId="12" xfId="0" applyFont="1" applyFill="1" applyBorder="1" applyAlignment="1">
      <alignment horizontal="left" vertical="center"/>
    </xf>
    <xf numFmtId="0" fontId="3" fillId="0" borderId="20" xfId="0" applyFont="1" applyFill="1" applyBorder="1" applyAlignment="1">
      <alignment horizontal="center"/>
    </xf>
    <xf numFmtId="0" fontId="3" fillId="0" borderId="27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right"/>
    </xf>
    <xf numFmtId="1" fontId="5" fillId="0" borderId="27" xfId="0" applyNumberFormat="1" applyFont="1" applyFill="1" applyBorder="1" applyAlignment="1">
      <alignment horizontal="left" vertical="center" indent="1"/>
    </xf>
    <xf numFmtId="1" fontId="5" fillId="0" borderId="13" xfId="0" applyNumberFormat="1" applyFont="1" applyFill="1" applyBorder="1" applyAlignment="1">
      <alignment horizontal="left" vertical="center" indent="1"/>
    </xf>
    <xf numFmtId="1" fontId="5" fillId="0" borderId="28" xfId="0" applyNumberFormat="1" applyFont="1" applyFill="1" applyBorder="1" applyAlignment="1">
      <alignment horizontal="left" vertical="center" indent="1"/>
    </xf>
    <xf numFmtId="168" fontId="12" fillId="0" borderId="20" xfId="0" applyNumberFormat="1" applyFont="1" applyFill="1" applyBorder="1" applyAlignment="1">
      <alignment horizontal="left" indent="1"/>
    </xf>
    <xf numFmtId="168" fontId="12" fillId="0" borderId="12" xfId="0" applyNumberFormat="1" applyFont="1" applyFill="1" applyBorder="1" applyAlignment="1">
      <alignment horizontal="left" indent="1"/>
    </xf>
    <xf numFmtId="0" fontId="3" fillId="0" borderId="2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12" fillId="0" borderId="20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left" indent="1"/>
    </xf>
    <xf numFmtId="0" fontId="3" fillId="0" borderId="11" xfId="0" applyFont="1" applyFill="1" applyBorder="1" applyAlignment="1">
      <alignment horizontal="left" indent="1"/>
    </xf>
    <xf numFmtId="166" fontId="3" fillId="0" borderId="20" xfId="0" applyNumberFormat="1" applyFont="1" applyFill="1" applyBorder="1" applyAlignment="1">
      <alignment horizontal="left" indent="1"/>
    </xf>
    <xf numFmtId="166" fontId="3" fillId="0" borderId="11" xfId="0" applyNumberFormat="1" applyFont="1" applyFill="1" applyBorder="1" applyAlignment="1">
      <alignment horizontal="left" indent="1"/>
    </xf>
    <xf numFmtId="166" fontId="3" fillId="0" borderId="21" xfId="0" applyNumberFormat="1" applyFont="1" applyFill="1" applyBorder="1" applyAlignment="1">
      <alignment horizontal="left" indent="1"/>
    </xf>
    <xf numFmtId="1" fontId="3" fillId="0" borderId="20" xfId="0" applyNumberFormat="1" applyFont="1" applyFill="1" applyBorder="1" applyAlignment="1">
      <alignment horizontal="left" indent="1"/>
    </xf>
    <xf numFmtId="1" fontId="3" fillId="0" borderId="11" xfId="0" applyNumberFormat="1" applyFont="1" applyFill="1" applyBorder="1" applyAlignment="1">
      <alignment horizontal="left" indent="1"/>
    </xf>
    <xf numFmtId="1" fontId="3" fillId="0" borderId="21" xfId="0" applyNumberFormat="1" applyFont="1" applyFill="1" applyBorder="1" applyAlignment="1">
      <alignment horizontal="left" indent="1"/>
    </xf>
    <xf numFmtId="0" fontId="3" fillId="0" borderId="20" xfId="0" applyFont="1" applyBorder="1" applyAlignment="1">
      <alignment horizontal="left" indent="1"/>
    </xf>
    <xf numFmtId="0" fontId="3" fillId="0" borderId="11" xfId="0" applyFont="1" applyBorder="1" applyAlignment="1">
      <alignment horizontal="left" indent="1"/>
    </xf>
    <xf numFmtId="0" fontId="3" fillId="0" borderId="21" xfId="0" applyFont="1" applyBorder="1" applyAlignment="1">
      <alignment horizontal="left" indent="1"/>
    </xf>
    <xf numFmtId="0" fontId="3" fillId="0" borderId="21" xfId="0" applyFont="1" applyFill="1" applyBorder="1" applyAlignment="1">
      <alignment horizontal="left" indent="1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D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38100</xdr:rowOff>
    </xdr:from>
    <xdr:to>
      <xdr:col>14</xdr:col>
      <xdr:colOff>552450</xdr:colOff>
      <xdr:row>8</xdr:row>
      <xdr:rowOff>114590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8100"/>
          <a:ext cx="8277225" cy="1600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42</xdr:row>
          <xdr:rowOff>19050</xdr:rowOff>
        </xdr:from>
        <xdr:to>
          <xdr:col>20</xdr:col>
          <xdr:colOff>0</xdr:colOff>
          <xdr:row>44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42</xdr:row>
          <xdr:rowOff>28575</xdr:rowOff>
        </xdr:from>
        <xdr:to>
          <xdr:col>10</xdr:col>
          <xdr:colOff>85725</xdr:colOff>
          <xdr:row>45</xdr:row>
          <xdr:rowOff>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10703</xdr:colOff>
      <xdr:row>0</xdr:row>
      <xdr:rowOff>74917</xdr:rowOff>
    </xdr:from>
    <xdr:to>
      <xdr:col>19</xdr:col>
      <xdr:colOff>759861</xdr:colOff>
      <xdr:row>6</xdr:row>
      <xdr:rowOff>149832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343" y="74917"/>
          <a:ext cx="9000591" cy="11665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zoomScaleNormal="100" workbookViewId="0">
      <selection activeCell="A12" sqref="A12"/>
    </sheetView>
  </sheetViews>
  <sheetFormatPr defaultRowHeight="15"/>
  <cols>
    <col min="1" max="1" width="5.7109375" customWidth="1"/>
    <col min="15" max="15" width="9.85546875" customWidth="1"/>
    <col min="16" max="16" width="9" customWidth="1"/>
  </cols>
  <sheetData>
    <row r="1" spans="1:16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>
      <c r="A10" s="2"/>
      <c r="B10" s="1"/>
      <c r="C10" s="2"/>
      <c r="D10" s="2"/>
      <c r="E10" s="2"/>
      <c r="L10" s="2"/>
      <c r="M10" s="2"/>
      <c r="N10" s="2"/>
      <c r="O10" s="1"/>
      <c r="P10" s="2"/>
    </row>
    <row r="11" spans="1:16">
      <c r="A11" s="1"/>
      <c r="B11" s="69"/>
      <c r="C11" s="69"/>
      <c r="D11" s="68"/>
      <c r="E11" s="68"/>
      <c r="F11" s="1"/>
      <c r="G11" s="1"/>
      <c r="H11" s="1"/>
      <c r="I11" s="68"/>
      <c r="J11" s="68"/>
      <c r="K11" s="68"/>
      <c r="L11" s="68"/>
      <c r="M11" s="1"/>
      <c r="N11" s="1"/>
      <c r="O11" s="1"/>
      <c r="P11" s="2"/>
    </row>
    <row r="12" spans="1:16">
      <c r="A12" s="1"/>
      <c r="B12" s="69"/>
      <c r="C12" s="69"/>
      <c r="D12" s="68"/>
      <c r="E12" s="68"/>
      <c r="F12" s="1"/>
      <c r="G12" s="1"/>
      <c r="H12" s="1"/>
      <c r="I12" s="68"/>
      <c r="J12" s="68"/>
      <c r="K12" s="68"/>
      <c r="L12" s="68"/>
      <c r="M12" s="1"/>
      <c r="N12" s="1"/>
      <c r="O12" s="1"/>
      <c r="P12" s="3"/>
    </row>
    <row r="13" spans="1:16">
      <c r="A13" s="1"/>
      <c r="B13" s="69"/>
      <c r="C13" s="69"/>
      <c r="D13" s="68"/>
      <c r="E13" s="68"/>
      <c r="F13" s="1"/>
      <c r="G13" s="1"/>
      <c r="H13" s="1"/>
      <c r="I13" s="68"/>
      <c r="J13" s="68"/>
      <c r="K13" s="68"/>
      <c r="L13" s="68"/>
      <c r="M13" s="1"/>
      <c r="N13" s="1"/>
      <c r="O13" s="1"/>
      <c r="P13" s="2"/>
    </row>
    <row r="14" spans="1:16">
      <c r="A14" s="1"/>
      <c r="B14" s="69"/>
      <c r="C14" s="69"/>
      <c r="D14" s="68"/>
      <c r="E14" s="68"/>
      <c r="F14" s="1"/>
      <c r="G14" s="1"/>
      <c r="H14" s="1"/>
      <c r="I14" s="68"/>
      <c r="J14" s="68"/>
      <c r="K14" s="68"/>
      <c r="L14" s="68"/>
      <c r="M14" s="1"/>
      <c r="N14" s="1"/>
      <c r="O14" s="1"/>
      <c r="P14" s="2"/>
    </row>
    <row r="15" spans="1:1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"/>
    </row>
    <row r="16" spans="1:16" ht="15" customHeight="1">
      <c r="A16" s="1"/>
      <c r="B16" s="4"/>
      <c r="C16" s="4"/>
      <c r="D16" s="4"/>
      <c r="E16" s="4"/>
      <c r="F16" s="4"/>
      <c r="G16" s="4"/>
      <c r="H16" s="4"/>
      <c r="I16" s="4"/>
      <c r="J16" s="5"/>
      <c r="K16" s="5"/>
      <c r="L16" s="5"/>
      <c r="M16" s="5"/>
      <c r="N16" s="5"/>
      <c r="O16" s="5"/>
      <c r="P16" s="2"/>
    </row>
    <row r="17" spans="1:16" ht="15" customHeight="1">
      <c r="A17" s="1"/>
      <c r="B17" s="4"/>
      <c r="C17" s="4"/>
      <c r="D17" s="4"/>
      <c r="E17" s="4"/>
      <c r="F17" s="4"/>
      <c r="G17" s="4"/>
      <c r="H17" s="4"/>
      <c r="I17" s="5"/>
      <c r="J17" s="5"/>
      <c r="K17" s="5"/>
      <c r="L17" s="5"/>
      <c r="M17" s="5"/>
      <c r="N17" s="5"/>
      <c r="O17" s="5"/>
      <c r="P17" s="2"/>
    </row>
    <row r="18" spans="1:1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"/>
    </row>
    <row r="19" spans="1:1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</sheetData>
  <mergeCells count="16">
    <mergeCell ref="B11:C11"/>
    <mergeCell ref="B12:C12"/>
    <mergeCell ref="B13:C13"/>
    <mergeCell ref="B14:C14"/>
    <mergeCell ref="D11:E11"/>
    <mergeCell ref="D12:E12"/>
    <mergeCell ref="D13:E13"/>
    <mergeCell ref="D14:E14"/>
    <mergeCell ref="I11:J11"/>
    <mergeCell ref="I12:J12"/>
    <mergeCell ref="I13:J13"/>
    <mergeCell ref="I14:J14"/>
    <mergeCell ref="K14:L14"/>
    <mergeCell ref="K13:L13"/>
    <mergeCell ref="K12:L12"/>
    <mergeCell ref="K11:L11"/>
  </mergeCells>
  <printOptions horizontalCentered="1" verticalCentered="1"/>
  <pageMargins left="0.1" right="0.1" top="0.1" bottom="0.1" header="0.1" footer="0.1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43"/>
  <sheetViews>
    <sheetView tabSelected="1" zoomScale="89" zoomScaleNormal="89" workbookViewId="0">
      <selection activeCell="B18" sqref="B18:C18"/>
    </sheetView>
  </sheetViews>
  <sheetFormatPr defaultRowHeight="15"/>
  <cols>
    <col min="1" max="1" width="2.85546875" customWidth="1"/>
    <col min="2" max="2" width="8.140625" customWidth="1"/>
    <col min="3" max="3" width="12.85546875" customWidth="1"/>
    <col min="4" max="4" width="0.140625" hidden="1" customWidth="1"/>
    <col min="5" max="5" width="7.28515625" customWidth="1"/>
    <col min="6" max="6" width="4" customWidth="1"/>
    <col min="7" max="7" width="3.140625" customWidth="1"/>
    <col min="8" max="8" width="10.7109375" customWidth="1"/>
    <col min="9" max="9" width="12.85546875" customWidth="1"/>
    <col min="10" max="10" width="2.7109375" customWidth="1"/>
    <col min="11" max="11" width="1.42578125" customWidth="1"/>
    <col min="12" max="12" width="4.5703125" customWidth="1"/>
    <col min="13" max="13" width="7.85546875" customWidth="1"/>
    <col min="14" max="14" width="5.85546875" customWidth="1"/>
    <col min="15" max="15" width="10.7109375" customWidth="1"/>
    <col min="16" max="16" width="5.140625" customWidth="1"/>
    <col min="17" max="17" width="10.7109375" customWidth="1"/>
    <col min="18" max="18" width="5" customWidth="1"/>
    <col min="19" max="19" width="10.7109375" customWidth="1"/>
    <col min="20" max="20" width="15" customWidth="1"/>
  </cols>
  <sheetData>
    <row r="1" spans="1:40" ht="15.75" thickTop="1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  <c r="U1" s="10"/>
    </row>
    <row r="2" spans="1:40">
      <c r="A2" s="2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29"/>
      <c r="U2" s="10"/>
    </row>
    <row r="3" spans="1:40">
      <c r="A3" s="2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29"/>
      <c r="U3" s="10"/>
    </row>
    <row r="4" spans="1:40" ht="14.25" customHeight="1">
      <c r="A4" s="2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29"/>
      <c r="U4" s="10"/>
    </row>
    <row r="5" spans="1:40" ht="12.75" customHeight="1">
      <c r="A5" s="2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9"/>
      <c r="U5" s="10"/>
    </row>
    <row r="6" spans="1:40" ht="12.75" customHeight="1">
      <c r="A6" s="2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29"/>
      <c r="U6" s="10"/>
    </row>
    <row r="7" spans="1:40" ht="12.75" customHeight="1">
      <c r="A7" s="2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29"/>
      <c r="U7" s="10"/>
    </row>
    <row r="8" spans="1:40" ht="12.75" customHeight="1">
      <c r="A8" s="196"/>
      <c r="B8" s="122"/>
      <c r="C8" s="164" t="s">
        <v>123</v>
      </c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5"/>
      <c r="U8" s="10"/>
      <c r="V8" s="1"/>
      <c r="W8" s="145"/>
      <c r="X8" s="145"/>
      <c r="Y8" s="145"/>
      <c r="Z8" s="145"/>
      <c r="AA8" s="145"/>
      <c r="AB8" s="145"/>
      <c r="AC8" s="145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ht="12.75" customHeight="1">
      <c r="A9" s="31"/>
      <c r="B9" s="32"/>
      <c r="C9" s="33"/>
      <c r="D9" s="33"/>
      <c r="E9" s="166" t="s">
        <v>98</v>
      </c>
      <c r="F9" s="166"/>
      <c r="G9" s="167" t="s">
        <v>97</v>
      </c>
      <c r="H9" s="167"/>
      <c r="I9" s="167"/>
      <c r="J9" s="166" t="s">
        <v>19</v>
      </c>
      <c r="K9" s="166"/>
      <c r="L9" s="166"/>
      <c r="M9" s="167" t="s">
        <v>70</v>
      </c>
      <c r="N9" s="167"/>
      <c r="O9" s="44" t="s">
        <v>20</v>
      </c>
      <c r="P9" s="47">
        <v>24</v>
      </c>
      <c r="Q9" s="45"/>
      <c r="R9" s="46"/>
      <c r="S9" s="167" t="s">
        <v>126</v>
      </c>
      <c r="T9" s="197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ht="15.75">
      <c r="A10" s="81" t="s">
        <v>101</v>
      </c>
      <c r="B10" s="83"/>
      <c r="C10" s="213"/>
      <c r="D10" s="214"/>
      <c r="E10" s="214"/>
      <c r="F10" s="214"/>
      <c r="G10" s="214"/>
      <c r="H10" s="101"/>
      <c r="I10" s="101"/>
      <c r="J10" s="101"/>
      <c r="K10" s="101"/>
      <c r="L10" s="102"/>
      <c r="M10" s="198" t="s">
        <v>109</v>
      </c>
      <c r="N10" s="102"/>
      <c r="O10" s="210"/>
      <c r="P10" s="211"/>
      <c r="Q10" s="212"/>
      <c r="R10" s="39" t="s">
        <v>110</v>
      </c>
      <c r="S10" s="206">
        <f ca="1">TODAY()</f>
        <v>43639</v>
      </c>
      <c r="T10" s="207"/>
      <c r="U10" s="1"/>
      <c r="V10" s="1"/>
      <c r="W10" s="24"/>
      <c r="X10" s="24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ht="14.25" customHeight="1">
      <c r="A11" s="72" t="s">
        <v>105</v>
      </c>
      <c r="B11" s="73"/>
      <c r="C11" s="76" t="str">
        <f>IF(C10="","",VLOOKUP(C10,cust_all,2,0))</f>
        <v/>
      </c>
      <c r="D11" s="74"/>
      <c r="E11" s="74"/>
      <c r="F11" s="74"/>
      <c r="G11" s="74"/>
      <c r="H11" s="74"/>
      <c r="I11" s="74"/>
      <c r="J11" s="74"/>
      <c r="K11" s="74"/>
      <c r="L11" s="75"/>
      <c r="M11" s="199" t="s">
        <v>31</v>
      </c>
      <c r="N11" s="85"/>
      <c r="O11" s="203">
        <v>53267.993299768517</v>
      </c>
      <c r="P11" s="204"/>
      <c r="Q11" s="205"/>
      <c r="R11" s="38" t="s">
        <v>115</v>
      </c>
      <c r="S11" s="208"/>
      <c r="T11" s="209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>
      <c r="A12" s="72" t="s">
        <v>106</v>
      </c>
      <c r="B12" s="191"/>
      <c r="C12" s="76" t="str">
        <f>IF(C10="","",VLOOKUP(C10,cust_all,3,0))</f>
        <v/>
      </c>
      <c r="D12" s="74"/>
      <c r="E12" s="74"/>
      <c r="F12" s="74"/>
      <c r="G12" s="74"/>
      <c r="H12" s="74"/>
      <c r="I12" s="74"/>
      <c r="J12" s="74"/>
      <c r="K12" s="74"/>
      <c r="L12" s="75"/>
      <c r="M12" s="198" t="s">
        <v>112</v>
      </c>
      <c r="N12" s="102"/>
      <c r="O12" s="40"/>
      <c r="P12" s="198" t="s">
        <v>113</v>
      </c>
      <c r="Q12" s="101"/>
      <c r="R12" s="102"/>
      <c r="S12" s="156"/>
      <c r="T12" s="157"/>
      <c r="U12" s="1"/>
    </row>
    <row r="13" spans="1:40">
      <c r="A13" s="81" t="s">
        <v>104</v>
      </c>
      <c r="B13" s="82"/>
      <c r="C13" s="215" t="str">
        <f>IF(C10="","",VLOOKUP(C10,cust_all,4,0))</f>
        <v/>
      </c>
      <c r="D13" s="216"/>
      <c r="E13" s="216"/>
      <c r="F13" s="216"/>
      <c r="G13" s="217"/>
      <c r="H13" s="41" t="s">
        <v>108</v>
      </c>
      <c r="I13" s="218" t="str">
        <f>IF(C10="","",VLOOKUP(C10,cust_all,5,0))</f>
        <v/>
      </c>
      <c r="J13" s="219"/>
      <c r="K13" s="219"/>
      <c r="L13" s="220"/>
      <c r="M13" s="199" t="s">
        <v>23</v>
      </c>
      <c r="N13" s="85"/>
      <c r="O13" s="42"/>
      <c r="P13" s="103" t="s">
        <v>111</v>
      </c>
      <c r="Q13" s="103"/>
      <c r="R13" s="85"/>
      <c r="S13" s="156"/>
      <c r="T13" s="157"/>
      <c r="U13" s="10"/>
    </row>
    <row r="14" spans="1:40" ht="15" customHeight="1">
      <c r="A14" s="81" t="s">
        <v>98</v>
      </c>
      <c r="B14" s="83"/>
      <c r="C14" s="221" t="str">
        <f>IF(C10="","",VLOOKUP(C10,cust_all,6,0))</f>
        <v/>
      </c>
      <c r="D14" s="222"/>
      <c r="E14" s="222"/>
      <c r="F14" s="222"/>
      <c r="G14" s="223"/>
      <c r="H14" s="55" t="s">
        <v>107</v>
      </c>
      <c r="I14" s="213" t="str">
        <f>IF(C10="","",VLOOKUP(C10,cust_all,7,0))</f>
        <v/>
      </c>
      <c r="J14" s="214"/>
      <c r="K14" s="214"/>
      <c r="L14" s="224"/>
      <c r="M14" s="198" t="s">
        <v>22</v>
      </c>
      <c r="N14" s="102"/>
      <c r="O14" s="66">
        <f ca="1">TODAY()</f>
        <v>43639</v>
      </c>
      <c r="P14" s="202" t="s">
        <v>125</v>
      </c>
      <c r="Q14" s="82"/>
      <c r="R14" s="83"/>
      <c r="S14" s="158"/>
      <c r="T14" s="159"/>
      <c r="U14" s="10"/>
    </row>
    <row r="15" spans="1:40">
      <c r="A15" s="72" t="s">
        <v>19</v>
      </c>
      <c r="B15" s="191"/>
      <c r="C15" s="76" t="str">
        <f>IF(C10="","",VLOOKUP(C10,cust_all,8,0))</f>
        <v/>
      </c>
      <c r="D15" s="74"/>
      <c r="E15" s="74"/>
      <c r="F15" s="74"/>
      <c r="G15" s="75"/>
      <c r="H15" s="37" t="s">
        <v>20</v>
      </c>
      <c r="I15" s="74" t="str">
        <f>IF(C10="","",VLOOKUP(C15,state_code,2,0))</f>
        <v/>
      </c>
      <c r="J15" s="74"/>
      <c r="K15" s="74"/>
      <c r="L15" s="75"/>
      <c r="M15" s="200" t="s">
        <v>21</v>
      </c>
      <c r="N15" s="201"/>
      <c r="O15" s="43"/>
      <c r="P15" s="191" t="s">
        <v>124</v>
      </c>
      <c r="Q15" s="191"/>
      <c r="R15" s="73"/>
      <c r="S15" s="160"/>
      <c r="T15" s="161"/>
      <c r="U15" s="10"/>
    </row>
    <row r="16" spans="1:40" ht="15" customHeight="1">
      <c r="A16" s="77" t="s">
        <v>2</v>
      </c>
      <c r="B16" s="78" t="s">
        <v>10</v>
      </c>
      <c r="C16" s="78"/>
      <c r="D16" s="59"/>
      <c r="E16" s="80" t="s">
        <v>43</v>
      </c>
      <c r="F16" s="78" t="s">
        <v>9</v>
      </c>
      <c r="G16" s="78" t="s">
        <v>88</v>
      </c>
      <c r="H16" s="78" t="s">
        <v>8</v>
      </c>
      <c r="I16" s="78" t="s">
        <v>7</v>
      </c>
      <c r="J16" s="78" t="s">
        <v>45</v>
      </c>
      <c r="K16" s="78"/>
      <c r="L16" s="78" t="s">
        <v>44</v>
      </c>
      <c r="M16" s="78"/>
      <c r="N16" s="155" t="s">
        <v>6</v>
      </c>
      <c r="O16" s="155"/>
      <c r="P16" s="155" t="s">
        <v>5</v>
      </c>
      <c r="Q16" s="155"/>
      <c r="R16" s="155" t="s">
        <v>4</v>
      </c>
      <c r="S16" s="155"/>
      <c r="T16" s="162" t="s">
        <v>3</v>
      </c>
      <c r="U16" s="10"/>
    </row>
    <row r="17" spans="1:21" ht="10.5" customHeight="1">
      <c r="A17" s="77"/>
      <c r="B17" s="78"/>
      <c r="C17" s="79"/>
      <c r="D17" s="59"/>
      <c r="E17" s="80"/>
      <c r="F17" s="78"/>
      <c r="G17" s="78"/>
      <c r="H17" s="78"/>
      <c r="I17" s="78"/>
      <c r="J17" s="78"/>
      <c r="K17" s="78"/>
      <c r="L17" s="78"/>
      <c r="M17" s="78"/>
      <c r="N17" s="59" t="s">
        <v>38</v>
      </c>
      <c r="O17" s="59" t="s">
        <v>7</v>
      </c>
      <c r="P17" s="59" t="s">
        <v>38</v>
      </c>
      <c r="Q17" s="59" t="s">
        <v>7</v>
      </c>
      <c r="R17" s="59" t="s">
        <v>38</v>
      </c>
      <c r="S17" s="59" t="s">
        <v>7</v>
      </c>
      <c r="T17" s="163"/>
      <c r="U17" s="10"/>
    </row>
    <row r="18" spans="1:21" ht="15" customHeight="1">
      <c r="A18" s="61" t="str">
        <f>IF(B18="","",1)</f>
        <v/>
      </c>
      <c r="B18" s="168"/>
      <c r="C18" s="169"/>
      <c r="D18" s="12"/>
      <c r="E18" s="64" t="str">
        <f t="shared" ref="E18:E25" si="0">IF(B18="","",VLOOKUP(B18,item,2,0))</f>
        <v/>
      </c>
      <c r="F18" s="34"/>
      <c r="G18" s="35" t="str">
        <f t="shared" ref="G18:G25" si="1">IF(B18="","",IF(F18="","",VLOOKUP(B18,item,3,0)))</f>
        <v/>
      </c>
      <c r="H18" s="36" t="str">
        <f t="shared" ref="H18:H25" si="2">IF(B18="","",IF(F18=0,0,VLOOKUP(B18,item,4,0)))</f>
        <v/>
      </c>
      <c r="I18" s="58" t="str">
        <f>IF(B18="","",H18*F18)</f>
        <v/>
      </c>
      <c r="J18" s="170"/>
      <c r="K18" s="171"/>
      <c r="L18" s="181" t="str">
        <f>IF(B18="","",I18-(J18*I18))</f>
        <v/>
      </c>
      <c r="M18" s="182"/>
      <c r="N18" s="60" t="str">
        <f>IF(B18="","",IF(S11="CGST &amp; SGST",IF(F18=0,0,VLOOKUP(B18,item,5,0)),0))</f>
        <v/>
      </c>
      <c r="O18" s="65" t="str">
        <f>IF(B18="","",IF(F18=0,0,(N18*L18)/100))</f>
        <v/>
      </c>
      <c r="P18" s="60" t="str">
        <f>IF(B18="","",IF(S11="CGST &amp; SGST",IF(F18=0,0,VLOOKUP(B18,item,6,0)),0))</f>
        <v/>
      </c>
      <c r="Q18" s="65" t="str">
        <f>IF(B18="","",IF(F18=0,0,(P18*L18)/100))</f>
        <v/>
      </c>
      <c r="R18" s="60" t="str">
        <f>IF(B18="","",IF(S11="IGST",IF(F18=0,0,VLOOKUP(B18,item,7,0)),0))</f>
        <v/>
      </c>
      <c r="S18" s="67" t="str">
        <f>IF(B18="","",IF(F18=0,0,(R18*L18)/100))</f>
        <v/>
      </c>
      <c r="T18" s="30" t="str">
        <f>IF(B18="","",IF(F18=0,0,L18+O18+Q18+S18))</f>
        <v/>
      </c>
      <c r="U18" s="10"/>
    </row>
    <row r="19" spans="1:21" ht="13.5" customHeight="1">
      <c r="A19" s="62" t="str">
        <f>IF(B19="","",2)</f>
        <v/>
      </c>
      <c r="B19" s="168"/>
      <c r="C19" s="169"/>
      <c r="D19" s="12"/>
      <c r="E19" s="64" t="str">
        <f t="shared" si="0"/>
        <v/>
      </c>
      <c r="F19" s="34"/>
      <c r="G19" s="35" t="str">
        <f t="shared" si="1"/>
        <v/>
      </c>
      <c r="H19" s="36" t="str">
        <f t="shared" si="2"/>
        <v/>
      </c>
      <c r="I19" s="58" t="str">
        <f t="shared" ref="I19:I25" si="3">IF(B19="","",H19*F19)</f>
        <v/>
      </c>
      <c r="J19" s="170"/>
      <c r="K19" s="171"/>
      <c r="L19" s="181" t="str">
        <f t="shared" ref="L19:L25" si="4">IF(B19="","",I19-(J19*I19))</f>
        <v/>
      </c>
      <c r="M19" s="182"/>
      <c r="N19" s="60" t="str">
        <f>IF(B19="","",IF(S11="CGST &amp; SGST",IF(F19=0,0,VLOOKUP(B19,item,5,0)),0))</f>
        <v/>
      </c>
      <c r="O19" s="65" t="str">
        <f t="shared" ref="O19:O25" si="5">IF(B19="","",IF(F19=0,0,(N19*L19)/100))</f>
        <v/>
      </c>
      <c r="P19" s="60" t="str">
        <f>IF(B19="","",IF(S11="CGST &amp; SGST",IF(F19=0,0,VLOOKUP(B19,item,6,0)),0))</f>
        <v/>
      </c>
      <c r="Q19" s="65" t="str">
        <f t="shared" ref="Q19:Q25" si="6">IF(B19="","",IF(F19=0,0,(P19*L19)/100))</f>
        <v/>
      </c>
      <c r="R19" s="60" t="str">
        <f>IF(B19="","",IF(S11="IGST",IF(F19=0,0,VLOOKUP(B19,item,7,0)),0))</f>
        <v/>
      </c>
      <c r="S19" s="67" t="str">
        <f t="shared" ref="S19:S25" si="7">IF(B19="","",IF(F19=0,0,(R19*L19)/100))</f>
        <v/>
      </c>
      <c r="T19" s="30" t="str">
        <f t="shared" ref="T19:T25" si="8">IF(B19="","",IF(F19=0,0,L19+O19+Q19+S19))</f>
        <v/>
      </c>
      <c r="U19" s="10"/>
    </row>
    <row r="20" spans="1:21" ht="12.75" customHeight="1">
      <c r="A20" s="62" t="str">
        <f>IF(B20="","",3)</f>
        <v/>
      </c>
      <c r="B20" s="168"/>
      <c r="C20" s="169"/>
      <c r="D20" s="12"/>
      <c r="E20" s="64" t="str">
        <f t="shared" si="0"/>
        <v/>
      </c>
      <c r="F20" s="34"/>
      <c r="G20" s="35" t="str">
        <f t="shared" si="1"/>
        <v/>
      </c>
      <c r="H20" s="36" t="str">
        <f t="shared" si="2"/>
        <v/>
      </c>
      <c r="I20" s="58" t="str">
        <f t="shared" si="3"/>
        <v/>
      </c>
      <c r="J20" s="170"/>
      <c r="K20" s="171"/>
      <c r="L20" s="181" t="str">
        <f t="shared" si="4"/>
        <v/>
      </c>
      <c r="M20" s="182"/>
      <c r="N20" s="60" t="str">
        <f>IF(B20="","",IF(S11="CGST &amp; SGST",IF(F20=0,0,VLOOKUP(B20,item,5,0)),0))</f>
        <v/>
      </c>
      <c r="O20" s="65" t="str">
        <f t="shared" si="5"/>
        <v/>
      </c>
      <c r="P20" s="60" t="str">
        <f>IF(B20="","",IF(S11="CGST &amp; SGST",IF(F20=0,0,VLOOKUP(B20,item,6,0)),0))</f>
        <v/>
      </c>
      <c r="Q20" s="65" t="str">
        <f t="shared" si="6"/>
        <v/>
      </c>
      <c r="R20" s="60" t="str">
        <f>IF(B20="","",IF(S11="IGST",IF(F20=0,0,VLOOKUP(B20,item,7,0)),0))</f>
        <v/>
      </c>
      <c r="S20" s="67" t="str">
        <f t="shared" si="7"/>
        <v/>
      </c>
      <c r="T20" s="30" t="str">
        <f t="shared" si="8"/>
        <v/>
      </c>
      <c r="U20" s="10"/>
    </row>
    <row r="21" spans="1:21" ht="12.75" customHeight="1">
      <c r="A21" s="62" t="str">
        <f>IF(B21="","",4)</f>
        <v/>
      </c>
      <c r="B21" s="168"/>
      <c r="C21" s="169"/>
      <c r="D21" s="12"/>
      <c r="E21" s="64" t="str">
        <f t="shared" si="0"/>
        <v/>
      </c>
      <c r="F21" s="34"/>
      <c r="G21" s="35" t="str">
        <f t="shared" si="1"/>
        <v/>
      </c>
      <c r="H21" s="36" t="str">
        <f t="shared" si="2"/>
        <v/>
      </c>
      <c r="I21" s="58" t="str">
        <f t="shared" si="3"/>
        <v/>
      </c>
      <c r="J21" s="170"/>
      <c r="K21" s="171"/>
      <c r="L21" s="181" t="str">
        <f t="shared" si="4"/>
        <v/>
      </c>
      <c r="M21" s="182"/>
      <c r="N21" s="60" t="str">
        <f>IF(B21="","",IF(S11="CGST &amp; SGST",IF(F21=0,0,VLOOKUP(B21,item,5,0)),0))</f>
        <v/>
      </c>
      <c r="O21" s="65" t="str">
        <f t="shared" si="5"/>
        <v/>
      </c>
      <c r="P21" s="60" t="str">
        <f>IF(B21="","",IF(S11="CGST &amp; SGST",IF(F21=0,0,VLOOKUP(B21,item,6,0)),0))</f>
        <v/>
      </c>
      <c r="Q21" s="65" t="str">
        <f t="shared" si="6"/>
        <v/>
      </c>
      <c r="R21" s="60" t="str">
        <f>IF(B21="","",IF(S11="IGST",IF(F21=0,0,VLOOKUP(B21,item,7,0)),0))</f>
        <v/>
      </c>
      <c r="S21" s="67" t="str">
        <f t="shared" si="7"/>
        <v/>
      </c>
      <c r="T21" s="30" t="str">
        <f t="shared" si="8"/>
        <v/>
      </c>
      <c r="U21" s="10"/>
    </row>
    <row r="22" spans="1:21">
      <c r="A22" s="62" t="str">
        <f>IF(B22="","",5)</f>
        <v/>
      </c>
      <c r="B22" s="168"/>
      <c r="C22" s="169"/>
      <c r="D22" s="12"/>
      <c r="E22" s="64" t="str">
        <f t="shared" si="0"/>
        <v/>
      </c>
      <c r="F22" s="34"/>
      <c r="G22" s="35" t="str">
        <f t="shared" si="1"/>
        <v/>
      </c>
      <c r="H22" s="36" t="str">
        <f t="shared" si="2"/>
        <v/>
      </c>
      <c r="I22" s="58" t="str">
        <f t="shared" si="3"/>
        <v/>
      </c>
      <c r="J22" s="170"/>
      <c r="K22" s="171"/>
      <c r="L22" s="181" t="str">
        <f t="shared" si="4"/>
        <v/>
      </c>
      <c r="M22" s="182"/>
      <c r="N22" s="60" t="str">
        <f>IF(B22="","",IF(S11="CGST &amp; SGST",IF(F22=0,0,VLOOKUP(B22,item,5,0)),0))</f>
        <v/>
      </c>
      <c r="O22" s="65" t="str">
        <f t="shared" si="5"/>
        <v/>
      </c>
      <c r="P22" s="60" t="str">
        <f>IF(B22="","",IF(S11="CGST &amp; SGST",IF(F22=0,0,VLOOKUP(B22,item,6,0)),0))</f>
        <v/>
      </c>
      <c r="Q22" s="65" t="str">
        <f t="shared" si="6"/>
        <v/>
      </c>
      <c r="R22" s="60" t="str">
        <f>IF(B22="","",IF(S11="IGST",IF(F22=0,0,VLOOKUP(B22,item,7,0)),0))</f>
        <v/>
      </c>
      <c r="S22" s="67" t="str">
        <f t="shared" si="7"/>
        <v/>
      </c>
      <c r="T22" s="30" t="str">
        <f t="shared" si="8"/>
        <v/>
      </c>
      <c r="U22" s="10"/>
    </row>
    <row r="23" spans="1:21">
      <c r="A23" s="62" t="str">
        <f>IF(B23="","",6)</f>
        <v/>
      </c>
      <c r="B23" s="168"/>
      <c r="C23" s="169"/>
      <c r="D23" s="12"/>
      <c r="E23" s="64" t="str">
        <f t="shared" si="0"/>
        <v/>
      </c>
      <c r="F23" s="34"/>
      <c r="G23" s="35" t="str">
        <f t="shared" si="1"/>
        <v/>
      </c>
      <c r="H23" s="36" t="str">
        <f t="shared" si="2"/>
        <v/>
      </c>
      <c r="I23" s="58" t="str">
        <f t="shared" si="3"/>
        <v/>
      </c>
      <c r="J23" s="170"/>
      <c r="K23" s="171"/>
      <c r="L23" s="181" t="str">
        <f t="shared" si="4"/>
        <v/>
      </c>
      <c r="M23" s="182"/>
      <c r="N23" s="60" t="str">
        <f>IF(B23="","",IF(S11="CGST &amp; SGST",IF(F23=0,0,VLOOKUP(B23,item,5,0)),0))</f>
        <v/>
      </c>
      <c r="O23" s="65" t="str">
        <f t="shared" si="5"/>
        <v/>
      </c>
      <c r="P23" s="60" t="str">
        <f>IF(B23="","",IF(S11="CGST &amp; SGST",IF(F23=0,0,VLOOKUP(B23,item,6,0)),0))</f>
        <v/>
      </c>
      <c r="Q23" s="65" t="str">
        <f t="shared" si="6"/>
        <v/>
      </c>
      <c r="R23" s="60" t="str">
        <f>IF(B23="","",IF(S11="IGST",IF(F23=0,0,VLOOKUP(B23,item,7,0)),0))</f>
        <v/>
      </c>
      <c r="S23" s="67" t="str">
        <f t="shared" si="7"/>
        <v/>
      </c>
      <c r="T23" s="30" t="str">
        <f t="shared" si="8"/>
        <v/>
      </c>
      <c r="U23" s="10"/>
    </row>
    <row r="24" spans="1:21">
      <c r="A24" s="62" t="str">
        <f>IF(B24="","",7)</f>
        <v/>
      </c>
      <c r="B24" s="168"/>
      <c r="C24" s="169"/>
      <c r="D24" s="12"/>
      <c r="E24" s="64" t="str">
        <f t="shared" si="0"/>
        <v/>
      </c>
      <c r="F24" s="34"/>
      <c r="G24" s="35" t="str">
        <f t="shared" si="1"/>
        <v/>
      </c>
      <c r="H24" s="36" t="str">
        <f t="shared" si="2"/>
        <v/>
      </c>
      <c r="I24" s="58" t="str">
        <f t="shared" si="3"/>
        <v/>
      </c>
      <c r="J24" s="170"/>
      <c r="K24" s="171"/>
      <c r="L24" s="181" t="str">
        <f t="shared" si="4"/>
        <v/>
      </c>
      <c r="M24" s="182"/>
      <c r="N24" s="60" t="str">
        <f>IF(B24="","",IF(S11="CGST &amp; SGST",IF(F24=0,0,VLOOKUP(B24,item,5,0)),0))</f>
        <v/>
      </c>
      <c r="O24" s="65" t="str">
        <f t="shared" si="5"/>
        <v/>
      </c>
      <c r="P24" s="60" t="str">
        <f>IF(B24="","",IF(S11="CGST &amp; SGST",IF(F24=0,0,VLOOKUP(B24,item,6,0)),0))</f>
        <v/>
      </c>
      <c r="Q24" s="65" t="str">
        <f t="shared" si="6"/>
        <v/>
      </c>
      <c r="R24" s="60" t="str">
        <f>IF(B24="","",IF(S11="IGST",IF(F24=0,0,VLOOKUP(B24,item,7,0)),0))</f>
        <v/>
      </c>
      <c r="S24" s="67" t="str">
        <f t="shared" si="7"/>
        <v/>
      </c>
      <c r="T24" s="30" t="str">
        <f t="shared" si="8"/>
        <v/>
      </c>
      <c r="U24" s="10"/>
    </row>
    <row r="25" spans="1:21">
      <c r="A25" s="62" t="str">
        <f>IF(B25="","",8)</f>
        <v/>
      </c>
      <c r="B25" s="168"/>
      <c r="C25" s="169"/>
      <c r="D25" s="12"/>
      <c r="E25" s="64" t="str">
        <f t="shared" si="0"/>
        <v/>
      </c>
      <c r="F25" s="34"/>
      <c r="G25" s="35" t="str">
        <f t="shared" si="1"/>
        <v/>
      </c>
      <c r="H25" s="36" t="str">
        <f t="shared" si="2"/>
        <v/>
      </c>
      <c r="I25" s="58" t="str">
        <f t="shared" si="3"/>
        <v/>
      </c>
      <c r="J25" s="180"/>
      <c r="K25" s="171"/>
      <c r="L25" s="181" t="str">
        <f t="shared" si="4"/>
        <v/>
      </c>
      <c r="M25" s="182"/>
      <c r="N25" s="60" t="str">
        <f>IF(B25="","",IF(S11="CGST &amp; SGST",IF(F25=0,0,VLOOKUP(B25,item,5,0)),0))</f>
        <v/>
      </c>
      <c r="O25" s="65" t="str">
        <f t="shared" si="5"/>
        <v/>
      </c>
      <c r="P25" s="60" t="str">
        <f>IF(B25="","",IF(S11="CGST &amp; SGST",IF(F25=0,0,VLOOKUP(B25,item,6,0)),0))</f>
        <v/>
      </c>
      <c r="Q25" s="65" t="str">
        <f t="shared" si="6"/>
        <v/>
      </c>
      <c r="R25" s="60" t="str">
        <f>IF(B25="","",IF(S11="IGST",IF(F25=0,0,VLOOKUP(B25,item,7,0)),0))</f>
        <v/>
      </c>
      <c r="S25" s="67" t="str">
        <f t="shared" si="7"/>
        <v/>
      </c>
      <c r="T25" s="30" t="str">
        <f t="shared" si="8"/>
        <v/>
      </c>
      <c r="U25" s="10"/>
    </row>
    <row r="26" spans="1:21">
      <c r="A26" s="81" t="s">
        <v>141</v>
      </c>
      <c r="B26" s="82"/>
      <c r="C26" s="82"/>
      <c r="D26" s="82"/>
      <c r="E26" s="83"/>
      <c r="F26" s="84">
        <v>0</v>
      </c>
      <c r="G26" s="85"/>
      <c r="H26" s="63"/>
      <c r="I26" s="192"/>
      <c r="J26" s="192"/>
      <c r="K26" s="192"/>
      <c r="L26" s="192"/>
      <c r="M26" s="192"/>
      <c r="N26" s="192"/>
      <c r="O26" s="193"/>
      <c r="P26" s="152" t="s">
        <v>11</v>
      </c>
      <c r="Q26" s="153"/>
      <c r="R26" s="154"/>
      <c r="S26" s="150">
        <f>SUM(L18:M25)</f>
        <v>0</v>
      </c>
      <c r="T26" s="151"/>
      <c r="U26" s="10"/>
    </row>
    <row r="27" spans="1:21">
      <c r="A27" s="100" t="s">
        <v>127</v>
      </c>
      <c r="B27" s="101"/>
      <c r="C27" s="101"/>
      <c r="D27" s="101"/>
      <c r="E27" s="101"/>
      <c r="F27" s="101"/>
      <c r="G27" s="101"/>
      <c r="H27" s="102"/>
      <c r="I27" s="194"/>
      <c r="J27" s="86"/>
      <c r="K27" s="86"/>
      <c r="L27" s="86"/>
      <c r="M27" s="86"/>
      <c r="N27" s="86"/>
      <c r="O27" s="195"/>
      <c r="P27" s="146" t="s">
        <v>6</v>
      </c>
      <c r="Q27" s="145"/>
      <c r="R27" s="147"/>
      <c r="S27" s="148">
        <f>SUM(O18:O25)</f>
        <v>0</v>
      </c>
      <c r="T27" s="149"/>
      <c r="U27" s="10"/>
    </row>
    <row r="28" spans="1:21">
      <c r="A28" s="48" t="s">
        <v>128</v>
      </c>
      <c r="B28" s="49"/>
      <c r="C28" s="89" t="s">
        <v>132</v>
      </c>
      <c r="D28" s="90"/>
      <c r="E28" s="90"/>
      <c r="F28" s="90"/>
      <c r="G28" s="90"/>
      <c r="H28" s="91"/>
      <c r="I28" s="194"/>
      <c r="J28" s="86"/>
      <c r="K28" s="86"/>
      <c r="L28" s="86"/>
      <c r="M28" s="86"/>
      <c r="N28" s="86"/>
      <c r="O28" s="195"/>
      <c r="P28" s="146" t="s">
        <v>5</v>
      </c>
      <c r="Q28" s="145"/>
      <c r="R28" s="147"/>
      <c r="S28" s="148">
        <f>SUM(Q18:Q25)</f>
        <v>0</v>
      </c>
      <c r="T28" s="149"/>
      <c r="U28" s="10"/>
    </row>
    <row r="29" spans="1:21">
      <c r="A29" s="50" t="s">
        <v>129</v>
      </c>
      <c r="B29" s="51"/>
      <c r="C29" s="92" t="s">
        <v>133</v>
      </c>
      <c r="D29" s="88"/>
      <c r="E29" s="88"/>
      <c r="F29" s="88"/>
      <c r="G29" s="88"/>
      <c r="H29" s="93"/>
      <c r="I29" s="194"/>
      <c r="J29" s="86"/>
      <c r="K29" s="86"/>
      <c r="L29" s="86"/>
      <c r="M29" s="86"/>
      <c r="N29" s="86"/>
      <c r="O29" s="195"/>
      <c r="P29" s="183" t="s">
        <v>4</v>
      </c>
      <c r="Q29" s="184"/>
      <c r="R29" s="185"/>
      <c r="S29" s="189">
        <f>SUM(S18:S25)</f>
        <v>0</v>
      </c>
      <c r="T29" s="190"/>
      <c r="U29" s="10"/>
    </row>
    <row r="30" spans="1:21">
      <c r="A30" s="50" t="s">
        <v>130</v>
      </c>
      <c r="B30" s="52"/>
      <c r="C30" s="92">
        <v>54545451545</v>
      </c>
      <c r="D30" s="88"/>
      <c r="E30" s="88"/>
      <c r="F30" s="88"/>
      <c r="G30" s="88"/>
      <c r="H30" s="93"/>
      <c r="I30" s="194"/>
      <c r="J30" s="86"/>
      <c r="K30" s="86"/>
      <c r="L30" s="86"/>
      <c r="M30" s="86"/>
      <c r="N30" s="86"/>
      <c r="O30" s="195"/>
      <c r="P30" s="186" t="s">
        <v>12</v>
      </c>
      <c r="Q30" s="187"/>
      <c r="R30" s="188"/>
      <c r="S30" s="189">
        <f>SUM(S27:T29)</f>
        <v>0</v>
      </c>
      <c r="T30" s="190"/>
      <c r="U30" s="10"/>
    </row>
    <row r="31" spans="1:21">
      <c r="A31" s="53" t="s">
        <v>131</v>
      </c>
      <c r="B31" s="54"/>
      <c r="C31" s="94" t="s">
        <v>134</v>
      </c>
      <c r="D31" s="95"/>
      <c r="E31" s="95"/>
      <c r="F31" s="95"/>
      <c r="G31" s="95"/>
      <c r="H31" s="96"/>
      <c r="I31" s="70"/>
      <c r="J31" s="70"/>
      <c r="K31" s="70"/>
      <c r="L31" s="70"/>
      <c r="M31" s="70"/>
      <c r="N31" s="70"/>
      <c r="O31" s="71"/>
      <c r="P31" s="127" t="s">
        <v>92</v>
      </c>
      <c r="Q31" s="70"/>
      <c r="R31" s="71"/>
      <c r="S31" s="175"/>
      <c r="T31" s="176"/>
      <c r="U31" s="10"/>
    </row>
    <row r="32" spans="1:21">
      <c r="A32" s="87"/>
      <c r="B32" s="88"/>
      <c r="C32" s="86"/>
      <c r="D32" s="86"/>
      <c r="E32" s="86"/>
      <c r="F32" s="86"/>
      <c r="G32" s="86"/>
      <c r="H32" s="86"/>
      <c r="I32" s="70"/>
      <c r="J32" s="70"/>
      <c r="K32" s="70"/>
      <c r="L32" s="70"/>
      <c r="M32" s="70"/>
      <c r="N32" s="70"/>
      <c r="O32" s="71"/>
      <c r="P32" s="127" t="s">
        <v>93</v>
      </c>
      <c r="Q32" s="70"/>
      <c r="R32" s="71"/>
      <c r="S32" s="177"/>
      <c r="T32" s="176"/>
      <c r="U32" s="16"/>
    </row>
    <row r="33" spans="1:21">
      <c r="A33" s="87"/>
      <c r="B33" s="88"/>
      <c r="C33" s="86"/>
      <c r="D33" s="86"/>
      <c r="E33" s="86"/>
      <c r="F33" s="86"/>
      <c r="G33" s="86"/>
      <c r="H33" s="86"/>
      <c r="I33" s="70"/>
      <c r="J33" s="70"/>
      <c r="K33" s="70"/>
      <c r="L33" s="70"/>
      <c r="M33" s="70"/>
      <c r="N33" s="70"/>
      <c r="O33" s="71"/>
      <c r="P33" s="127" t="s">
        <v>94</v>
      </c>
      <c r="Q33" s="70"/>
      <c r="R33" s="71"/>
      <c r="S33" s="177"/>
      <c r="T33" s="176"/>
      <c r="U33" s="16"/>
    </row>
    <row r="34" spans="1:21">
      <c r="A34" s="87"/>
      <c r="B34" s="88"/>
      <c r="C34" s="86"/>
      <c r="D34" s="86"/>
      <c r="E34" s="86"/>
      <c r="F34" s="86"/>
      <c r="G34" s="86"/>
      <c r="H34" s="86"/>
      <c r="I34" s="70"/>
      <c r="J34" s="70"/>
      <c r="K34" s="70"/>
      <c r="L34" s="70"/>
      <c r="M34" s="70"/>
      <c r="N34" s="70"/>
      <c r="O34" s="71"/>
      <c r="P34" s="172" t="s">
        <v>95</v>
      </c>
      <c r="Q34" s="173"/>
      <c r="R34" s="174"/>
      <c r="S34" s="178"/>
      <c r="T34" s="179"/>
      <c r="U34" s="16"/>
    </row>
    <row r="35" spans="1:21" ht="15" customHeight="1">
      <c r="A35" s="144"/>
      <c r="B35" s="95"/>
      <c r="C35" s="122"/>
      <c r="D35" s="122"/>
      <c r="E35" s="122"/>
      <c r="F35" s="122"/>
      <c r="G35" s="122"/>
      <c r="H35" s="122"/>
      <c r="I35" s="141"/>
      <c r="J35" s="141"/>
      <c r="K35" s="141"/>
      <c r="L35" s="141"/>
      <c r="M35" s="142"/>
      <c r="N35" s="142"/>
      <c r="O35" s="143"/>
      <c r="P35" s="107" t="s">
        <v>91</v>
      </c>
      <c r="Q35" s="108"/>
      <c r="R35" s="109"/>
      <c r="S35" s="105">
        <f>S26+S30+S31+S32+S33+S34</f>
        <v>0</v>
      </c>
      <c r="T35" s="106"/>
      <c r="U35" s="17"/>
    </row>
    <row r="36" spans="1:21">
      <c r="A36" s="100" t="s">
        <v>18</v>
      </c>
      <c r="B36" s="101"/>
      <c r="C36" s="102"/>
      <c r="D36" s="103">
        <f>SpellNumber(S35)</f>
        <v>0</v>
      </c>
      <c r="E36" s="103"/>
      <c r="F36" s="103"/>
      <c r="G36" s="103"/>
      <c r="H36" s="103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4"/>
      <c r="U36" s="17"/>
    </row>
    <row r="37" spans="1:21" ht="10.5" customHeight="1">
      <c r="A37" s="97" t="s">
        <v>24</v>
      </c>
      <c r="B37" s="98"/>
      <c r="C37" s="98"/>
      <c r="D37" s="99"/>
      <c r="E37" s="99"/>
      <c r="F37" s="99"/>
      <c r="G37" s="99"/>
      <c r="H37" s="99"/>
      <c r="I37" s="116">
        <f ca="1">NOW()+O11</f>
        <v>96907.08362881944</v>
      </c>
      <c r="J37" s="117"/>
      <c r="K37" s="117"/>
      <c r="L37" s="117"/>
      <c r="M37" s="117"/>
      <c r="N37" s="117"/>
      <c r="O37" s="110" t="s">
        <v>29</v>
      </c>
      <c r="P37" s="111"/>
      <c r="Q37" s="111"/>
      <c r="R37" s="111"/>
      <c r="S37" s="111"/>
      <c r="T37" s="112"/>
      <c r="U37" s="10"/>
    </row>
    <row r="38" spans="1:21" ht="12.75" customHeight="1">
      <c r="A38" s="125" t="s">
        <v>25</v>
      </c>
      <c r="B38" s="126"/>
      <c r="C38" s="126"/>
      <c r="D38" s="126"/>
      <c r="E38" s="126"/>
      <c r="F38" s="126"/>
      <c r="G38" s="126"/>
      <c r="H38" s="126"/>
      <c r="I38" s="118"/>
      <c r="J38" s="119"/>
      <c r="K38" s="119"/>
      <c r="L38" s="119"/>
      <c r="M38" s="119"/>
      <c r="N38" s="119"/>
      <c r="O38" s="113"/>
      <c r="P38" s="114"/>
      <c r="Q38" s="114"/>
      <c r="R38" s="114"/>
      <c r="S38" s="114"/>
      <c r="T38" s="115"/>
      <c r="U38" s="10"/>
    </row>
    <row r="39" spans="1:21" ht="11.25" customHeight="1">
      <c r="A39" s="125" t="s">
        <v>26</v>
      </c>
      <c r="B39" s="126"/>
      <c r="C39" s="126"/>
      <c r="D39" s="126"/>
      <c r="E39" s="126"/>
      <c r="F39" s="126"/>
      <c r="G39" s="126"/>
      <c r="H39" s="126"/>
      <c r="I39" s="118"/>
      <c r="J39" s="119"/>
      <c r="K39" s="119"/>
      <c r="L39" s="119"/>
      <c r="M39" s="119"/>
      <c r="N39" s="119"/>
      <c r="O39" s="127"/>
      <c r="P39" s="70"/>
      <c r="Q39" s="70"/>
      <c r="R39" s="70"/>
      <c r="S39" s="70"/>
      <c r="T39" s="128"/>
      <c r="U39" s="10"/>
    </row>
    <row r="40" spans="1:21" ht="12" customHeight="1">
      <c r="A40" s="125" t="s">
        <v>27</v>
      </c>
      <c r="B40" s="126"/>
      <c r="C40" s="126"/>
      <c r="D40" s="126"/>
      <c r="E40" s="126"/>
      <c r="F40" s="126"/>
      <c r="G40" s="126"/>
      <c r="H40" s="126"/>
      <c r="I40" s="120"/>
      <c r="J40" s="121"/>
      <c r="K40" s="121"/>
      <c r="L40" s="121"/>
      <c r="M40" s="121"/>
      <c r="N40" s="121"/>
      <c r="O40" s="127"/>
      <c r="P40" s="70"/>
      <c r="Q40" s="70"/>
      <c r="R40" s="70"/>
      <c r="S40" s="70"/>
      <c r="T40" s="128"/>
      <c r="U40" s="10"/>
    </row>
    <row r="41" spans="1:21" ht="10.5" customHeight="1">
      <c r="A41" s="125" t="s">
        <v>96</v>
      </c>
      <c r="B41" s="126"/>
      <c r="C41" s="126"/>
      <c r="D41" s="126"/>
      <c r="E41" s="126"/>
      <c r="F41" s="126"/>
      <c r="G41" s="126"/>
      <c r="H41" s="126"/>
      <c r="I41" s="137" t="s">
        <v>99</v>
      </c>
      <c r="J41" s="138"/>
      <c r="K41" s="138"/>
      <c r="L41" s="138"/>
      <c r="M41" s="138"/>
      <c r="N41" s="138"/>
      <c r="O41" s="129" t="s">
        <v>30</v>
      </c>
      <c r="P41" s="130"/>
      <c r="Q41" s="130"/>
      <c r="R41" s="133"/>
      <c r="S41" s="133"/>
      <c r="T41" s="134"/>
      <c r="U41" s="10"/>
    </row>
    <row r="42" spans="1:21" ht="12" customHeight="1" thickBot="1">
      <c r="A42" s="123" t="s">
        <v>28</v>
      </c>
      <c r="B42" s="124"/>
      <c r="C42" s="124"/>
      <c r="D42" s="124"/>
      <c r="E42" s="124"/>
      <c r="F42" s="124"/>
      <c r="G42" s="124"/>
      <c r="H42" s="124"/>
      <c r="I42" s="139"/>
      <c r="J42" s="140"/>
      <c r="K42" s="140"/>
      <c r="L42" s="140"/>
      <c r="M42" s="140"/>
      <c r="N42" s="140"/>
      <c r="O42" s="131"/>
      <c r="P42" s="132"/>
      <c r="Q42" s="132"/>
      <c r="R42" s="135"/>
      <c r="S42" s="135"/>
      <c r="T42" s="136"/>
      <c r="U42" s="10"/>
    </row>
    <row r="43" spans="1:21" ht="15.75" customHeight="1" thickTop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</row>
  </sheetData>
  <mergeCells count="140">
    <mergeCell ref="A8:B8"/>
    <mergeCell ref="S9:T9"/>
    <mergeCell ref="M12:N12"/>
    <mergeCell ref="M13:N13"/>
    <mergeCell ref="M14:N14"/>
    <mergeCell ref="M15:N15"/>
    <mergeCell ref="P14:R14"/>
    <mergeCell ref="P15:R15"/>
    <mergeCell ref="P12:R12"/>
    <mergeCell ref="P13:R13"/>
    <mergeCell ref="M10:N10"/>
    <mergeCell ref="M11:N11"/>
    <mergeCell ref="O11:Q11"/>
    <mergeCell ref="S10:T10"/>
    <mergeCell ref="S11:T11"/>
    <mergeCell ref="O10:Q10"/>
    <mergeCell ref="C10:G10"/>
    <mergeCell ref="H10:L10"/>
    <mergeCell ref="C15:G15"/>
    <mergeCell ref="C13:G13"/>
    <mergeCell ref="I13:L13"/>
    <mergeCell ref="C14:G14"/>
    <mergeCell ref="I14:L14"/>
    <mergeCell ref="A10:B10"/>
    <mergeCell ref="P31:R31"/>
    <mergeCell ref="B25:C25"/>
    <mergeCell ref="B18:C18"/>
    <mergeCell ref="A12:B12"/>
    <mergeCell ref="A13:B13"/>
    <mergeCell ref="A14:B14"/>
    <mergeCell ref="A15:B15"/>
    <mergeCell ref="B19:C19"/>
    <mergeCell ref="B20:C20"/>
    <mergeCell ref="B21:C21"/>
    <mergeCell ref="B22:C22"/>
    <mergeCell ref="B23:C23"/>
    <mergeCell ref="J20:K20"/>
    <mergeCell ref="J21:K21"/>
    <mergeCell ref="J22:K22"/>
    <mergeCell ref="J23:K23"/>
    <mergeCell ref="N16:O16"/>
    <mergeCell ref="I26:O26"/>
    <mergeCell ref="I27:O27"/>
    <mergeCell ref="I28:O28"/>
    <mergeCell ref="I29:O29"/>
    <mergeCell ref="I30:O30"/>
    <mergeCell ref="I31:O31"/>
    <mergeCell ref="A27:H27"/>
    <mergeCell ref="P32:R32"/>
    <mergeCell ref="P33:R33"/>
    <mergeCell ref="P34:R34"/>
    <mergeCell ref="S31:T31"/>
    <mergeCell ref="S32:T32"/>
    <mergeCell ref="S33:T33"/>
    <mergeCell ref="S34:T34"/>
    <mergeCell ref="J25:K25"/>
    <mergeCell ref="L18:M18"/>
    <mergeCell ref="L19:M19"/>
    <mergeCell ref="L20:M20"/>
    <mergeCell ref="L21:M21"/>
    <mergeCell ref="L24:M24"/>
    <mergeCell ref="L25:M25"/>
    <mergeCell ref="J18:K18"/>
    <mergeCell ref="J19:K19"/>
    <mergeCell ref="L22:M22"/>
    <mergeCell ref="L23:M23"/>
    <mergeCell ref="P29:R29"/>
    <mergeCell ref="P30:R30"/>
    <mergeCell ref="S28:T28"/>
    <mergeCell ref="S29:T29"/>
    <mergeCell ref="S30:T30"/>
    <mergeCell ref="P28:R28"/>
    <mergeCell ref="W8:Z8"/>
    <mergeCell ref="AA8:AC8"/>
    <mergeCell ref="P27:R27"/>
    <mergeCell ref="S27:T27"/>
    <mergeCell ref="S26:T26"/>
    <mergeCell ref="P26:R26"/>
    <mergeCell ref="P16:Q16"/>
    <mergeCell ref="R16:S16"/>
    <mergeCell ref="S12:T12"/>
    <mergeCell ref="S13:T13"/>
    <mergeCell ref="S14:T14"/>
    <mergeCell ref="S15:T15"/>
    <mergeCell ref="T16:T17"/>
    <mergeCell ref="C8:T8"/>
    <mergeCell ref="E9:F9"/>
    <mergeCell ref="G9:I9"/>
    <mergeCell ref="J9:L9"/>
    <mergeCell ref="M9:N9"/>
    <mergeCell ref="B24:C24"/>
    <mergeCell ref="J24:K24"/>
    <mergeCell ref="L16:M17"/>
    <mergeCell ref="H16:H17"/>
    <mergeCell ref="I16:I17"/>
    <mergeCell ref="J16:K17"/>
    <mergeCell ref="A37:H37"/>
    <mergeCell ref="A36:C36"/>
    <mergeCell ref="D36:T36"/>
    <mergeCell ref="S35:T35"/>
    <mergeCell ref="P35:R35"/>
    <mergeCell ref="O37:T38"/>
    <mergeCell ref="I37:N40"/>
    <mergeCell ref="C35:H35"/>
    <mergeCell ref="A42:H42"/>
    <mergeCell ref="A41:H41"/>
    <mergeCell ref="A40:H40"/>
    <mergeCell ref="A39:H39"/>
    <mergeCell ref="A38:H38"/>
    <mergeCell ref="O39:T40"/>
    <mergeCell ref="O41:Q42"/>
    <mergeCell ref="R41:T42"/>
    <mergeCell ref="I41:N42"/>
    <mergeCell ref="I35:L35"/>
    <mergeCell ref="M35:O35"/>
    <mergeCell ref="A35:B35"/>
    <mergeCell ref="I32:O32"/>
    <mergeCell ref="I33:O33"/>
    <mergeCell ref="I34:O34"/>
    <mergeCell ref="A11:B11"/>
    <mergeCell ref="I15:L15"/>
    <mergeCell ref="C12:L12"/>
    <mergeCell ref="C11:L11"/>
    <mergeCell ref="A16:A17"/>
    <mergeCell ref="B16:C17"/>
    <mergeCell ref="E16:E17"/>
    <mergeCell ref="F16:F17"/>
    <mergeCell ref="G16:G17"/>
    <mergeCell ref="A26:E26"/>
    <mergeCell ref="F26:G26"/>
    <mergeCell ref="C32:H32"/>
    <mergeCell ref="C33:H33"/>
    <mergeCell ref="C34:H34"/>
    <mergeCell ref="A32:B32"/>
    <mergeCell ref="A33:B33"/>
    <mergeCell ref="A34:B34"/>
    <mergeCell ref="C28:H28"/>
    <mergeCell ref="C29:H29"/>
    <mergeCell ref="C30:H30"/>
    <mergeCell ref="C31:H31"/>
  </mergeCells>
  <dataValidations count="9">
    <dataValidation type="list" allowBlank="1" showInputMessage="1" showErrorMessage="1" sqref="D19:D25">
      <formula1>iname</formula1>
    </dataValidation>
    <dataValidation type="list" showInputMessage="1" showErrorMessage="1" sqref="B19:B25 B18:D18">
      <formula1>iname</formula1>
    </dataValidation>
    <dataValidation type="list" allowBlank="1" showInputMessage="1" showErrorMessage="1" sqref="J18:J25">
      <formula1>"0,.05,.1,.15,.2,.25,.3,.35,.4,.45,.5,.55,.6,.65,.7,.75,.8,.85,.9,.95"</formula1>
    </dataValidation>
    <dataValidation showInputMessage="1" showErrorMessage="1" sqref="E18:E25"/>
    <dataValidation type="list" allowBlank="1" showInputMessage="1" showErrorMessage="1" sqref="O12">
      <formula1>"Self, By Roadway, By Railway, By Airway"</formula1>
    </dataValidation>
    <dataValidation type="list" allowBlank="1" showInputMessage="1" showErrorMessage="1" sqref="O10:Q10">
      <formula1>"Cash Memo, Debit Memo"</formula1>
    </dataValidation>
    <dataValidation type="list" allowBlank="1" showInputMessage="1" showErrorMessage="1" sqref="C10:G10">
      <formula1>cust_name</formula1>
    </dataValidation>
    <dataValidation type="list" allowBlank="1" showInputMessage="1" showErrorMessage="1" sqref="S11:T11">
      <formula1>"CGST &amp; SGST, IGST"</formula1>
    </dataValidation>
    <dataValidation type="list" allowBlank="1" showInputMessage="1" showErrorMessage="1" sqref="S12:T12">
      <formula1>transport</formula1>
    </dataValidation>
  </dataValidations>
  <pageMargins left="0.1" right="0.2" top="0.1" bottom="0.1" header="0.1" footer="0.1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0</xdr:col>
                <xdr:colOff>19050</xdr:colOff>
                <xdr:row>42</xdr:row>
                <xdr:rowOff>28575</xdr:rowOff>
              </from>
              <to>
                <xdr:col>10</xdr:col>
                <xdr:colOff>85725</xdr:colOff>
                <xdr:row>45</xdr:row>
                <xdr:rowOff>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10</xdr:col>
                <xdr:colOff>85725</xdr:colOff>
                <xdr:row>42</xdr:row>
                <xdr:rowOff>19050</xdr:rowOff>
              </from>
              <to>
                <xdr:col>20</xdr:col>
                <xdr:colOff>0</xdr:colOff>
                <xdr:row>44</xdr:row>
                <xdr:rowOff>180975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50"/>
  <sheetViews>
    <sheetView workbookViewId="0">
      <selection activeCell="E5" sqref="E5"/>
    </sheetView>
  </sheetViews>
  <sheetFormatPr defaultRowHeight="15"/>
  <cols>
    <col min="2" max="2" width="27" customWidth="1"/>
    <col min="3" max="3" width="9.7109375" bestFit="1" customWidth="1"/>
    <col min="4" max="4" width="9.7109375" customWidth="1"/>
    <col min="5" max="5" width="10.7109375" bestFit="1" customWidth="1"/>
    <col min="6" max="6" width="5.42578125" bestFit="1" customWidth="1"/>
    <col min="7" max="7" width="5.28515625" bestFit="1" customWidth="1"/>
    <col min="8" max="8" width="4.85546875" bestFit="1" customWidth="1"/>
    <col min="10" max="10" width="16.140625" bestFit="1" customWidth="1"/>
    <col min="12" max="12" width="16.140625" bestFit="1" customWidth="1"/>
  </cols>
  <sheetData>
    <row r="1" spans="1:27">
      <c r="A1" s="6" t="s">
        <v>1</v>
      </c>
      <c r="B1" s="6" t="s">
        <v>10</v>
      </c>
      <c r="C1" s="6" t="s">
        <v>43</v>
      </c>
      <c r="D1" s="6" t="s">
        <v>89</v>
      </c>
      <c r="E1" s="6" t="s">
        <v>8</v>
      </c>
      <c r="F1" s="6" t="s">
        <v>6</v>
      </c>
      <c r="G1" s="6" t="s">
        <v>5</v>
      </c>
      <c r="H1" s="6" t="s">
        <v>4</v>
      </c>
      <c r="I1" s="7"/>
      <c r="J1" s="7"/>
      <c r="K1" s="7"/>
      <c r="L1" s="6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>
      <c r="A2" s="7" t="s">
        <v>13</v>
      </c>
      <c r="B2" s="7" t="s">
        <v>145</v>
      </c>
      <c r="C2" s="7">
        <v>5208</v>
      </c>
      <c r="D2" s="7" t="s">
        <v>90</v>
      </c>
      <c r="E2" s="8">
        <v>750</v>
      </c>
      <c r="F2" s="7">
        <v>2.5</v>
      </c>
      <c r="G2" s="7">
        <v>2.5</v>
      </c>
      <c r="H2" s="7">
        <v>5</v>
      </c>
      <c r="I2" s="7"/>
      <c r="J2" s="7"/>
      <c r="K2" s="7"/>
      <c r="L2" s="9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>
      <c r="A3" s="7" t="s">
        <v>14</v>
      </c>
      <c r="B3" s="7" t="s">
        <v>146</v>
      </c>
      <c r="C3" s="7">
        <v>50564529</v>
      </c>
      <c r="D3" s="7" t="s">
        <v>90</v>
      </c>
      <c r="E3" s="8">
        <v>540</v>
      </c>
      <c r="F3" s="7">
        <v>5</v>
      </c>
      <c r="G3" s="7">
        <v>2.5</v>
      </c>
      <c r="H3" s="7">
        <v>5</v>
      </c>
      <c r="I3" s="7"/>
      <c r="J3" s="7"/>
      <c r="K3" s="7"/>
      <c r="L3" s="9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>
      <c r="A4" s="7" t="s">
        <v>15</v>
      </c>
      <c r="B4" s="7" t="s">
        <v>147</v>
      </c>
      <c r="C4" s="7">
        <v>2010</v>
      </c>
      <c r="D4" s="7" t="s">
        <v>90</v>
      </c>
      <c r="E4" s="8">
        <v>800</v>
      </c>
      <c r="F4" s="7">
        <v>10</v>
      </c>
      <c r="G4" s="7">
        <v>0</v>
      </c>
      <c r="H4" s="7">
        <v>5</v>
      </c>
      <c r="I4" s="7"/>
      <c r="J4" s="7"/>
      <c r="K4" s="7"/>
      <c r="L4" s="9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>
      <c r="A5" s="7" t="s">
        <v>16</v>
      </c>
      <c r="B5" s="7" t="s">
        <v>148</v>
      </c>
      <c r="C5" s="7">
        <v>5018</v>
      </c>
      <c r="D5" s="7" t="s">
        <v>90</v>
      </c>
      <c r="E5" s="8">
        <v>390</v>
      </c>
      <c r="F5" s="7">
        <v>2</v>
      </c>
      <c r="G5" s="7">
        <v>3</v>
      </c>
      <c r="H5" s="7">
        <v>0</v>
      </c>
      <c r="I5" s="7"/>
      <c r="J5" s="7"/>
      <c r="K5" s="7"/>
      <c r="L5" s="9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>
      <c r="A6" s="7"/>
      <c r="B6" s="7"/>
      <c r="C6" s="7"/>
      <c r="D6" s="7"/>
      <c r="E6" s="8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>
      <c r="A7" s="7"/>
      <c r="B7" s="7"/>
      <c r="C7" s="7"/>
      <c r="D7" s="7"/>
      <c r="E7" s="8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5"/>
  <sheetViews>
    <sheetView workbookViewId="0">
      <selection activeCell="A3" sqref="A2:AX3"/>
    </sheetView>
  </sheetViews>
  <sheetFormatPr defaultRowHeight="15"/>
  <cols>
    <col min="1" max="1" width="15.140625" style="57" bestFit="1" customWidth="1"/>
    <col min="2" max="2" width="12" bestFit="1" customWidth="1"/>
    <col min="3" max="4" width="12" customWidth="1"/>
    <col min="5" max="5" width="17.85546875" bestFit="1" customWidth="1"/>
    <col min="6" max="6" width="13.85546875" bestFit="1" customWidth="1"/>
    <col min="7" max="11" width="12" customWidth="1"/>
    <col min="12" max="12" width="24.42578125" bestFit="1" customWidth="1"/>
    <col min="13" max="13" width="6.140625" customWidth="1"/>
    <col min="14" max="14" width="15.140625" bestFit="1" customWidth="1"/>
    <col min="15" max="15" width="15.140625" customWidth="1"/>
    <col min="16" max="16" width="11.28515625" bestFit="1" customWidth="1"/>
    <col min="17" max="17" width="11.28515625" customWidth="1"/>
    <col min="18" max="18" width="14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" bestFit="1" customWidth="1"/>
    <col min="23" max="23" width="11.42578125" bestFit="1" customWidth="1"/>
    <col min="28" max="28" width="6.7109375" bestFit="1" customWidth="1"/>
    <col min="29" max="29" width="13.5703125" bestFit="1" customWidth="1"/>
    <col min="30" max="30" width="9.85546875" bestFit="1" customWidth="1"/>
    <col min="31" max="31" width="13.140625" bestFit="1" customWidth="1"/>
    <col min="33" max="33" width="12.85546875" bestFit="1" customWidth="1"/>
    <col min="34" max="34" width="9.28515625" bestFit="1" customWidth="1"/>
    <col min="35" max="35" width="12.42578125" bestFit="1" customWidth="1"/>
    <col min="36" max="36" width="13.7109375" customWidth="1"/>
    <col min="37" max="37" width="14" customWidth="1"/>
    <col min="38" max="38" width="23.28515625" bestFit="1" customWidth="1"/>
    <col min="39" max="39" width="10.28515625" bestFit="1" customWidth="1"/>
    <col min="40" max="40" width="10.140625" bestFit="1" customWidth="1"/>
    <col min="41" max="41" width="9.7109375" bestFit="1" customWidth="1"/>
    <col min="42" max="42" width="19.28515625" bestFit="1" customWidth="1"/>
    <col min="43" max="43" width="14.85546875" bestFit="1" customWidth="1"/>
    <col min="44" max="44" width="24.7109375" bestFit="1" customWidth="1"/>
    <col min="46" max="46" width="13.7109375" bestFit="1" customWidth="1"/>
    <col min="47" max="47" width="11.140625" bestFit="1" customWidth="1"/>
    <col min="48" max="48" width="39.5703125" bestFit="1" customWidth="1"/>
    <col min="49" max="49" width="74.28515625" bestFit="1" customWidth="1"/>
  </cols>
  <sheetData>
    <row r="1" spans="1:49">
      <c r="A1" s="57" t="s">
        <v>31</v>
      </c>
      <c r="B1" t="s">
        <v>32</v>
      </c>
      <c r="C1" t="s">
        <v>135</v>
      </c>
      <c r="D1" t="s">
        <v>109</v>
      </c>
      <c r="E1" t="s">
        <v>136</v>
      </c>
      <c r="F1" t="s">
        <v>117</v>
      </c>
      <c r="G1" t="s">
        <v>118</v>
      </c>
      <c r="H1" t="s">
        <v>103</v>
      </c>
      <c r="I1" t="s">
        <v>119</v>
      </c>
      <c r="J1" t="s">
        <v>102</v>
      </c>
      <c r="K1" t="s">
        <v>120</v>
      </c>
      <c r="L1" t="s">
        <v>0</v>
      </c>
      <c r="M1" t="s">
        <v>1</v>
      </c>
      <c r="N1" t="s">
        <v>137</v>
      </c>
      <c r="O1" t="s">
        <v>138</v>
      </c>
      <c r="P1" t="s">
        <v>33</v>
      </c>
      <c r="Q1" t="s">
        <v>143</v>
      </c>
      <c r="R1" t="s">
        <v>139</v>
      </c>
      <c r="S1" t="s">
        <v>140</v>
      </c>
      <c r="T1" t="s">
        <v>34</v>
      </c>
      <c r="U1" t="s">
        <v>35</v>
      </c>
      <c r="V1" t="s">
        <v>10</v>
      </c>
      <c r="W1" t="s">
        <v>142</v>
      </c>
      <c r="X1" t="s">
        <v>9</v>
      </c>
      <c r="Y1" t="s">
        <v>88</v>
      </c>
      <c r="Z1" t="s">
        <v>8</v>
      </c>
      <c r="AA1" t="s">
        <v>7</v>
      </c>
      <c r="AB1" t="s">
        <v>17</v>
      </c>
      <c r="AC1" t="s">
        <v>44</v>
      </c>
      <c r="AD1" t="s">
        <v>36</v>
      </c>
      <c r="AE1" t="s">
        <v>37</v>
      </c>
      <c r="AF1" t="s">
        <v>39</v>
      </c>
      <c r="AG1" t="s">
        <v>40</v>
      </c>
      <c r="AH1" t="s">
        <v>41</v>
      </c>
      <c r="AI1" t="s">
        <v>42</v>
      </c>
      <c r="AJ1" t="s">
        <v>3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U1">
        <v>0</v>
      </c>
      <c r="AV1">
        <v>0</v>
      </c>
      <c r="AW1" s="56" t="s">
        <v>144</v>
      </c>
    </row>
    <row r="2" spans="1:49"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49">
      <c r="AW3" s="56"/>
    </row>
    <row r="5" spans="1:49">
      <c r="AW5" s="56"/>
    </row>
  </sheetData>
  <dataValidations disablePrompts="1" count="1">
    <dataValidation type="list" allowBlank="1" showInputMessage="1" showErrorMessage="1" sqref="L2">
      <formula1>iname</formula1>
    </dataValidation>
  </dataValidations>
  <hyperlinks>
    <hyperlink ref="AW1" display="C:\Users\we@we\Desktop\53266.9932997685_13-06-2018_.pdf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8"/>
  <sheetViews>
    <sheetView topLeftCell="A2" workbookViewId="0">
      <selection activeCell="C2" sqref="C2"/>
    </sheetView>
  </sheetViews>
  <sheetFormatPr defaultRowHeight="15"/>
  <cols>
    <col min="1" max="1" width="34.85546875" bestFit="1" customWidth="1"/>
  </cols>
  <sheetData>
    <row r="1" spans="1:2" ht="15.75">
      <c r="A1" s="15" t="s">
        <v>46</v>
      </c>
      <c r="B1" s="15" t="s">
        <v>1</v>
      </c>
    </row>
    <row r="2" spans="1:2">
      <c r="A2" t="s">
        <v>47</v>
      </c>
      <c r="B2" s="13">
        <v>1</v>
      </c>
    </row>
    <row r="3" spans="1:2">
      <c r="A3" t="s">
        <v>48</v>
      </c>
      <c r="B3" s="13">
        <v>2</v>
      </c>
    </row>
    <row r="4" spans="1:2">
      <c r="A4" t="s">
        <v>49</v>
      </c>
      <c r="B4" s="13">
        <v>3</v>
      </c>
    </row>
    <row r="5" spans="1:2">
      <c r="A5" t="s">
        <v>50</v>
      </c>
      <c r="B5" s="13">
        <v>4</v>
      </c>
    </row>
    <row r="6" spans="1:2">
      <c r="A6" t="s">
        <v>51</v>
      </c>
      <c r="B6" s="13">
        <v>5</v>
      </c>
    </row>
    <row r="7" spans="1:2">
      <c r="A7" t="s">
        <v>52</v>
      </c>
      <c r="B7" s="13">
        <v>6</v>
      </c>
    </row>
    <row r="8" spans="1:2">
      <c r="A8" t="s">
        <v>53</v>
      </c>
      <c r="B8" s="13">
        <v>7</v>
      </c>
    </row>
    <row r="9" spans="1:2">
      <c r="A9" t="s">
        <v>54</v>
      </c>
      <c r="B9" s="13">
        <v>8</v>
      </c>
    </row>
    <row r="10" spans="1:2">
      <c r="A10" t="s">
        <v>55</v>
      </c>
      <c r="B10" s="13">
        <v>9</v>
      </c>
    </row>
    <row r="11" spans="1:2">
      <c r="A11" t="s">
        <v>56</v>
      </c>
      <c r="B11" s="13">
        <v>10</v>
      </c>
    </row>
    <row r="12" spans="1:2">
      <c r="A12" t="s">
        <v>57</v>
      </c>
      <c r="B12" s="13">
        <v>11</v>
      </c>
    </row>
    <row r="13" spans="1:2">
      <c r="A13" t="s">
        <v>58</v>
      </c>
      <c r="B13" s="13">
        <v>12</v>
      </c>
    </row>
    <row r="14" spans="1:2">
      <c r="A14" t="s">
        <v>59</v>
      </c>
      <c r="B14" s="13">
        <v>13</v>
      </c>
    </row>
    <row r="15" spans="1:2">
      <c r="A15" t="s">
        <v>60</v>
      </c>
      <c r="B15" s="13">
        <v>14</v>
      </c>
    </row>
    <row r="16" spans="1:2">
      <c r="A16" t="s">
        <v>61</v>
      </c>
      <c r="B16" s="13">
        <v>15</v>
      </c>
    </row>
    <row r="17" spans="1:2">
      <c r="A17" t="s">
        <v>62</v>
      </c>
      <c r="B17" s="13">
        <v>16</v>
      </c>
    </row>
    <row r="18" spans="1:2">
      <c r="A18" t="s">
        <v>63</v>
      </c>
      <c r="B18" s="13">
        <v>17</v>
      </c>
    </row>
    <row r="19" spans="1:2">
      <c r="A19" t="s">
        <v>64</v>
      </c>
      <c r="B19" s="13">
        <v>18</v>
      </c>
    </row>
    <row r="20" spans="1:2">
      <c r="A20" t="s">
        <v>65</v>
      </c>
      <c r="B20" s="13">
        <v>19</v>
      </c>
    </row>
    <row r="21" spans="1:2">
      <c r="A21" t="s">
        <v>66</v>
      </c>
      <c r="B21" s="13">
        <v>20</v>
      </c>
    </row>
    <row r="22" spans="1:2">
      <c r="A22" t="s">
        <v>67</v>
      </c>
      <c r="B22" s="13">
        <v>21</v>
      </c>
    </row>
    <row r="23" spans="1:2">
      <c r="A23" t="s">
        <v>68</v>
      </c>
      <c r="B23" s="13">
        <v>22</v>
      </c>
    </row>
    <row r="24" spans="1:2">
      <c r="A24" t="s">
        <v>69</v>
      </c>
      <c r="B24" s="13">
        <v>23</v>
      </c>
    </row>
    <row r="25" spans="1:2">
      <c r="A25" t="s">
        <v>70</v>
      </c>
      <c r="B25" s="13">
        <v>24</v>
      </c>
    </row>
    <row r="26" spans="1:2">
      <c r="A26" t="s">
        <v>71</v>
      </c>
      <c r="B26" s="13">
        <v>25</v>
      </c>
    </row>
    <row r="27" spans="1:2">
      <c r="A27" t="s">
        <v>72</v>
      </c>
      <c r="B27" s="13">
        <v>26</v>
      </c>
    </row>
    <row r="28" spans="1:2">
      <c r="A28" t="s">
        <v>73</v>
      </c>
      <c r="B28" s="13">
        <v>27</v>
      </c>
    </row>
    <row r="29" spans="1:2">
      <c r="A29" t="s">
        <v>74</v>
      </c>
      <c r="B29" s="13">
        <v>28</v>
      </c>
    </row>
    <row r="30" spans="1:2">
      <c r="A30" t="s">
        <v>75</v>
      </c>
      <c r="B30" s="13">
        <v>29</v>
      </c>
    </row>
    <row r="31" spans="1:2">
      <c r="A31" t="s">
        <v>76</v>
      </c>
      <c r="B31" s="13">
        <v>30</v>
      </c>
    </row>
    <row r="32" spans="1:2">
      <c r="A32" t="s">
        <v>77</v>
      </c>
      <c r="B32" s="13">
        <v>31</v>
      </c>
    </row>
    <row r="33" spans="1:2">
      <c r="A33" t="s">
        <v>78</v>
      </c>
      <c r="B33" s="13">
        <v>32</v>
      </c>
    </row>
    <row r="34" spans="1:2">
      <c r="A34" t="s">
        <v>79</v>
      </c>
      <c r="B34" s="13">
        <v>33</v>
      </c>
    </row>
    <row r="35" spans="1:2">
      <c r="A35" t="s">
        <v>80</v>
      </c>
      <c r="B35" s="13">
        <v>34</v>
      </c>
    </row>
    <row r="36" spans="1:2">
      <c r="A36" t="s">
        <v>81</v>
      </c>
      <c r="B36" s="13">
        <v>35</v>
      </c>
    </row>
    <row r="37" spans="1:2">
      <c r="A37" t="s">
        <v>82</v>
      </c>
      <c r="B37" s="13">
        <v>36</v>
      </c>
    </row>
    <row r="38" spans="1:2">
      <c r="A38" t="s">
        <v>83</v>
      </c>
      <c r="B38" s="13">
        <v>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sqref="A1:A1048576"/>
    </sheetView>
  </sheetViews>
  <sheetFormatPr defaultRowHeight="15"/>
  <cols>
    <col min="1" max="1" width="15.28515625" bestFit="1" customWidth="1"/>
    <col min="2" max="2" width="11.28515625" bestFit="1" customWidth="1"/>
  </cols>
  <sheetData>
    <row r="1" spans="1:3">
      <c r="A1" s="14" t="s">
        <v>84</v>
      </c>
      <c r="B1" s="14" t="s">
        <v>85</v>
      </c>
      <c r="C1" s="14" t="s">
        <v>87</v>
      </c>
    </row>
    <row r="2" spans="1:3">
      <c r="A2" t="s">
        <v>86</v>
      </c>
      <c r="B2">
        <v>9845487452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6"/>
  <sheetViews>
    <sheetView workbookViewId="0">
      <selection activeCell="C2" sqref="C2"/>
    </sheetView>
  </sheetViews>
  <sheetFormatPr defaultRowHeight="28.5"/>
  <cols>
    <col min="2" max="2" width="15.42578125" style="20" customWidth="1"/>
    <col min="3" max="3" width="15.5703125" bestFit="1" customWidth="1"/>
  </cols>
  <sheetData>
    <row r="1" spans="1:9" ht="26.25" customHeight="1">
      <c r="A1" t="s">
        <v>100</v>
      </c>
      <c r="B1" s="19" t="e">
        <f ca="1">D2=CODE39(A1)</f>
        <v>#NAME?</v>
      </c>
      <c r="C1" s="22" t="e">
        <f ca="1">NOW()+A1</f>
        <v>#VALUE!</v>
      </c>
    </row>
    <row r="2" spans="1:9">
      <c r="C2" s="23"/>
    </row>
    <row r="3" spans="1:9">
      <c r="G3" s="21"/>
      <c r="H3" s="21"/>
      <c r="I3" s="21"/>
    </row>
    <row r="4" spans="1:9">
      <c r="G4" s="21"/>
      <c r="H4" s="21"/>
      <c r="I4" s="21"/>
    </row>
    <row r="5" spans="1:9">
      <c r="G5" s="21"/>
      <c r="H5" s="21"/>
      <c r="I5" s="21"/>
    </row>
    <row r="6" spans="1:9">
      <c r="G6" s="21"/>
      <c r="H6" s="21"/>
      <c r="I6" s="2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"/>
  <sheetViews>
    <sheetView workbookViewId="0">
      <selection activeCell="A3" sqref="A3:I4"/>
    </sheetView>
  </sheetViews>
  <sheetFormatPr defaultRowHeight="15"/>
  <cols>
    <col min="1" max="1" width="17.85546875" bestFit="1" customWidth="1"/>
    <col min="2" max="2" width="13.85546875" bestFit="1" customWidth="1"/>
    <col min="3" max="3" width="10.42578125" bestFit="1" customWidth="1"/>
    <col min="4" max="4" width="7.85546875" customWidth="1"/>
    <col min="6" max="6" width="17.28515625" bestFit="1" customWidth="1"/>
    <col min="7" max="7" width="22.42578125" bestFit="1" customWidth="1"/>
  </cols>
  <sheetData>
    <row r="1" spans="1:10">
      <c r="A1" s="14" t="s">
        <v>116</v>
      </c>
      <c r="B1" s="14" t="s">
        <v>117</v>
      </c>
      <c r="C1" s="14" t="s">
        <v>118</v>
      </c>
      <c r="D1" s="14" t="s">
        <v>103</v>
      </c>
      <c r="E1" s="14" t="s">
        <v>119</v>
      </c>
      <c r="F1" s="14" t="s">
        <v>102</v>
      </c>
      <c r="G1" s="14" t="s">
        <v>120</v>
      </c>
      <c r="H1" s="14" t="s">
        <v>0</v>
      </c>
      <c r="I1" s="14" t="s">
        <v>1</v>
      </c>
      <c r="J1" s="14" t="s">
        <v>121</v>
      </c>
    </row>
    <row r="2" spans="1:10">
      <c r="A2" t="s">
        <v>122</v>
      </c>
      <c r="B2" t="s">
        <v>114</v>
      </c>
      <c r="C2" t="s">
        <v>114</v>
      </c>
      <c r="D2" t="s">
        <v>114</v>
      </c>
      <c r="E2" t="s">
        <v>114</v>
      </c>
      <c r="F2" t="s">
        <v>114</v>
      </c>
      <c r="G2" t="s">
        <v>114</v>
      </c>
      <c r="H2" t="s">
        <v>114</v>
      </c>
      <c r="I2" t="s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Info</vt:lpstr>
      <vt:lpstr>Bill</vt:lpstr>
      <vt:lpstr>Data</vt:lpstr>
      <vt:lpstr>Agents</vt:lpstr>
      <vt:lpstr>Sales</vt:lpstr>
      <vt:lpstr>State Code</vt:lpstr>
      <vt:lpstr>Tranport Name</vt:lpstr>
      <vt:lpstr>Barcode</vt:lpstr>
      <vt:lpstr>Customers</vt:lpstr>
      <vt:lpstr>bill_cust</vt:lpstr>
      <vt:lpstr>cust_all</vt:lpstr>
      <vt:lpstr>cust_name</vt:lpstr>
      <vt:lpstr>discount</vt:lpstr>
      <vt:lpstr>extra_charges</vt:lpstr>
      <vt:lpstr>gst</vt:lpstr>
      <vt:lpstr>iname</vt:lpstr>
      <vt:lpstr>item</vt:lpstr>
      <vt:lpstr>product_name</vt:lpstr>
      <vt:lpstr>qty</vt:lpstr>
      <vt:lpstr>state</vt:lpstr>
      <vt:lpstr>state_code</vt:lpstr>
      <vt:lpstr>transport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we@we</dc:creator>
  <cp:lastModifiedBy>Devang Garach</cp:lastModifiedBy>
  <cp:lastPrinted>2018-06-13T12:55:54Z</cp:lastPrinted>
  <dcterms:created xsi:type="dcterms:W3CDTF">2018-06-03T08:39:47Z</dcterms:created>
  <dcterms:modified xsi:type="dcterms:W3CDTF">2019-06-22T20:40:52Z</dcterms:modified>
</cp:coreProperties>
</file>